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EL" sheetId="1" r:id="rId5"/>
    <sheet state="visible" name="SKAŁA" sheetId="2" r:id="rId6"/>
    <sheet state="visible" name="SKALE" sheetId="3" r:id="rId7"/>
  </sheets>
  <definedNames>
    <definedName name="OCENA">SKALE!$E$1:$E$9</definedName>
    <definedName name="SKALA_FR">SKALE!$A$1:$C$31</definedName>
    <definedName name="MY_FUNCTION1">LAMBDA(IF(PANEL!$D$22 &gt; 1, VLOOKUP(PANEL!$B$22, SKALE!$A$1:$B$27, 2, FALSE) * 30, VLOOKUP(PANEL!$B$22, SKALE!$A$1:$B$27, 2, FALSE) * 30 * (1 + IF(PANEL!$E$22 = "OS", 2, IF(PANEL!$E$22 = "FL", 1, 0)))))</definedName>
  </definedNames>
  <calcPr/>
</workbook>
</file>

<file path=xl/sharedStrings.xml><?xml version="1.0" encoding="utf-8"?>
<sst xmlns="http://schemas.openxmlformats.org/spreadsheetml/2006/main" count="2100" uniqueCount="713">
  <si>
    <t>NAZWA DROGI</t>
  </si>
  <si>
    <t>WYCENA SUGEROWANA</t>
  </si>
  <si>
    <t>SUBIEKTWNA</t>
  </si>
  <si>
    <t>PRÓB</t>
  </si>
  <si>
    <t>STYL</t>
  </si>
  <si>
    <t>DATA</t>
  </si>
  <si>
    <t>Miejsce</t>
  </si>
  <si>
    <t>FORMACJA</t>
  </si>
  <si>
    <t>KOMENTARZ</t>
  </si>
  <si>
    <t>AUTOR</t>
  </si>
  <si>
    <t>ASEKURACJA</t>
  </si>
  <si>
    <t>PIĘKNO</t>
  </si>
  <si>
    <t>Soft Orange - sraczkowata</t>
  </si>
  <si>
    <t>7a</t>
  </si>
  <si>
    <t>6c+</t>
  </si>
  <si>
    <t>OS</t>
  </si>
  <si>
    <t>zaułek</t>
  </si>
  <si>
    <t>lekko przewieszone</t>
  </si>
  <si>
    <t>krawądki i paczki w lekkim przewisie, kilka restów, było ciężko ale onsight</t>
  </si>
  <si>
    <t>Mario</t>
  </si>
  <si>
    <t>Maciej Tomkiewicz</t>
  </si>
  <si>
    <t>Czerwona na połogu - comps not bombs</t>
  </si>
  <si>
    <t>RP</t>
  </si>
  <si>
    <t>New Slab</t>
  </si>
  <si>
    <t>pion i odchylony pion</t>
  </si>
  <si>
    <t>z baldem dynamicznym (jebnięcie do otworu) a na koniec słabe ścisko kiełbaski , czasem jakieś odstawki nóg na kant speedwalla</t>
  </si>
  <si>
    <t>?</t>
  </si>
  <si>
    <t>Comps NOT bombs nr 16 - biała</t>
  </si>
  <si>
    <t>6c+/7a</t>
  </si>
  <si>
    <t>speedwall</t>
  </si>
  <si>
    <t>prawie pion</t>
  </si>
  <si>
    <t>krawądki piaskowcowe, crux pod koniec z dynamicznym wyjsciem do chwytu, podhaczka palców o paczkę</t>
  </si>
  <si>
    <t>Kolarz</t>
  </si>
  <si>
    <t>Marta Ciereszko</t>
  </si>
  <si>
    <t>Comps NOT bombs nr 18 - czarna</t>
  </si>
  <si>
    <t>zaułek lewy</t>
  </si>
  <si>
    <t xml:space="preserve">kneebar nohands rest z kneepadem, końcówka ciągowa po parówkowych słabych sciskach, całość dość ostrożna </t>
  </si>
  <si>
    <t>Romek Główka</t>
  </si>
  <si>
    <t>Jarek Stachyra</t>
  </si>
  <si>
    <t xml:space="preserve">Comps NOT bombs nr 16 - niebieska </t>
  </si>
  <si>
    <t>7a+</t>
  </si>
  <si>
    <t>dość techniczne piękne wspinanie po różnych rodzajach chwytów, kilka cruxów a na koniec techniczno siłowo wytrzymałościowy</t>
  </si>
  <si>
    <t>Tomek Majchrzak</t>
  </si>
  <si>
    <t>Marcin Malinowski albo Maciej Tomkiewicz</t>
  </si>
  <si>
    <t>Zajęczki - różowa</t>
  </si>
  <si>
    <t>noga prawa</t>
  </si>
  <si>
    <t xml:space="preserve">pion  + przewieszenie </t>
  </si>
  <si>
    <t>typowe wspinanie w ciągu, w sumie jeden słaby rest w połowie, oblaki  i wulkaniki</t>
  </si>
  <si>
    <t>Bez nazwy na połogu - czarna</t>
  </si>
  <si>
    <t>połóg + pion</t>
  </si>
  <si>
    <t>czujna skradajkowata, siłowo techniczny crux za połową  z wyjściem na prawej nodze z leworęcznym wyporem, sięgając w górę prawą ręką do gówniaka, potem do topu ciąg po zrzucających ściskach i krawądkach. Bez przedostatniej wpinki</t>
  </si>
  <si>
    <t>Routsetting Collective</t>
  </si>
  <si>
    <t>Róż na prawym sportowym</t>
  </si>
  <si>
    <t>Sportowy prawy</t>
  </si>
  <si>
    <t>przewieszony</t>
  </si>
  <si>
    <t>jeden dobry rest pod koniec po kruksie</t>
  </si>
  <si>
    <t>Czarna sportowa - urwana kartka</t>
  </si>
  <si>
    <t>Sportowy środek</t>
  </si>
  <si>
    <t>przewieszone</t>
  </si>
  <si>
    <t>Raczej z tych łatwiejszych. crux na końcu, strzał do topowej klamy był trudny, wyczerpujące ciągowe wspinanie. RP poprowadzone z zapasem</t>
  </si>
  <si>
    <t>Vojta T</t>
  </si>
  <si>
    <t>Agata Starmach</t>
  </si>
  <si>
    <t>Blue Pill - magenta</t>
  </si>
  <si>
    <t>6c</t>
  </si>
  <si>
    <t>zaułek prawy</t>
  </si>
  <si>
    <t>przewieszony trawes i pion</t>
  </si>
  <si>
    <t>dość ostrożny początek, potem ze 3 resty i ciekawe ruchy po krzyżu, Solidne 6C ale bez plusa</t>
  </si>
  <si>
    <t xml:space="preserve">Jarek Stachyra ? </t>
  </si>
  <si>
    <t>Wspinacz - zielona</t>
  </si>
  <si>
    <t>Sportowy lewy</t>
  </si>
  <si>
    <t>mocno przewieszone</t>
  </si>
  <si>
    <t>srogi wycisk po niby dobrych chwytach, dalekie ruchy i bathang za połową, bardzo ciągowe, bardzo wyczerpujące. Ostatnie 8 przechwytów na granicy odpadania</t>
  </si>
  <si>
    <t xml:space="preserve">Żółta po oblakach </t>
  </si>
  <si>
    <t>oblaki przeplatane z krawądkami oraz jedna sekcja dobrych klam, znalazłem ze  2 dobre resty i jeden taki sobie. Pod koniec ten rest był na podchwycie w przewieszeniu więc powoli restowałem. Przed topem flagowy ruch z przytrzymaniem i przesunięciem masy w lewo. Ostatnie 3 chwyty razem z topem to krawądki, top nieco tylko lepszy, więc wpina z przybloku</t>
  </si>
  <si>
    <t xml:space="preserve">Vojta V
</t>
  </si>
  <si>
    <t>Dowiedli - czarna</t>
  </si>
  <si>
    <t>7a+/b</t>
  </si>
  <si>
    <t xml:space="preserve">dość przewieszone i trawersujące z prawej w lewo </t>
  </si>
  <si>
    <t>Wytrzymałościowe, długie wspinanie. Znalazłem chyba 4-5 średnich restów. W tym pierwszy bathang na płaskim kloco oblaku. Drugi to podhaczka na paczce jako zrzucenie lewej ręki przed długim ruchem do kolejnej paczki. Zamiana podhaczki na zahaczenie pięty w poziomym zwisie odstwaka na sztywną nogę w panel. Potem karkołomny techniczny rest na palcach prawej nogi, zapierając się o panel lewą nogą i częściowo sciskając paczkę udem, w balansie ciała na odciągu w prawo a lewa noga odstaje w dół wzdłuż przewieszenia sciany, trudna wpinka z tej pozycji</t>
  </si>
  <si>
    <t>Jakub Dominowski</t>
  </si>
  <si>
    <t>White</t>
  </si>
  <si>
    <t>6c/c+</t>
  </si>
  <si>
    <t>połóg i pion</t>
  </si>
  <si>
    <t>w sumie to nie wiem czy ta wycena nie jest na wyrost. Byłem umęczony wiec nie mam oceny obiektywnej. Pierwsza wstawka była niedogrzana i słaba - odpusciłm, a 2ga była na wyczerpaniu, dzień po życiówce. Ledwo to urobiłem, ale na 100% nie ma 7a. Uważam że uczciwie będzie jej dać 6c/c+ za ciąg po bardzo małych krawądeczkach na końcu</t>
  </si>
  <si>
    <t>Black</t>
  </si>
  <si>
    <t>pion i  lekki przewis</t>
  </si>
  <si>
    <t>Raczej z tych łatwiejszych. Prawie było Flashem, ale odpusciłem a nie było trzeba. Następna próba dzień później ale bez sukcesu. Czyszczenie i dopiero pusciło w 4tej próbie. Droga po sciskach i kilku odciągach z w sumie restem w połowie. Dwie kiełbaski pod koniec na sciskanie słabe dość ale jak szybko uciełem w prawo do kolejnego odciągu to już było super. Droga w kilku miejscach bardzo czujna i zrzucająca</t>
  </si>
  <si>
    <t>Anezka 159 - czerwona</t>
  </si>
  <si>
    <t>Speedwall L</t>
  </si>
  <si>
    <t>Gatunek po odblako odciągach, raczej łatwa. Chyba nie miała cruxa, lub był on nieznacznie trudniejszy od reszty drogi. 2 lub 3 dalsze ruchy i to wszystko. Resty w skrętce ze 3 znalazłem i jeden pod topem wiszący</t>
  </si>
  <si>
    <t>Anezka</t>
  </si>
  <si>
    <t>Black Amadeus</t>
  </si>
  <si>
    <t>Noga prawa</t>
  </si>
  <si>
    <t>pion przewieszka</t>
  </si>
  <si>
    <t>Poszło OSem, Na bank nie ma 7a, ale moze mieć 6c+. KIlka razy trzeba było walnąć dajno do mniejszych chwytów, ale nie takie znowu mocne. Nie było przestrzałów, czytelne i logiczne. Początek czujny, potem chwytki i klamy. Jeden solidniejszy rest. UPDATE. Powtórka bez bloków</t>
  </si>
  <si>
    <t xml:space="preserve">Arek </t>
  </si>
  <si>
    <t>Black - Jedna nr 130 - czarne klamy</t>
  </si>
  <si>
    <t>Pykło na rozgrzewkę. Coś za łatwo na 7a. Łatwiejsza niż czarna w tej samej lini nakręcona poprzednio, która była 7a soft. Tutaj dam 6c+. Jedno leciutko psychiczne dajno, i jedna sekwencja do pomylenia ale raczej to za mało na 7a nadal. W większosci czytelne i logiczne, bez przestrzałów. Raczej po klamach i z kilkoma restami</t>
  </si>
  <si>
    <t>Iza Kołodziej</t>
  </si>
  <si>
    <t>Połoga czarna prawa</t>
  </si>
  <si>
    <t>połóg, pion</t>
  </si>
  <si>
    <t>plackościski od startu potem sekwencyjnie po małych krawądach, crux w ostatnim ruchu do topu. Po drodze ze 2 resty solidne</t>
  </si>
  <si>
    <t>Vojta</t>
  </si>
  <si>
    <t>Jan Bączek</t>
  </si>
  <si>
    <t>Noga Czarna Prawa</t>
  </si>
  <si>
    <t>noga front</t>
  </si>
  <si>
    <t>pion</t>
  </si>
  <si>
    <t>dość równa , z cruxem na pionowej listwie na ścisk, trudna wpina w sumie ale nic nadzwyczaj trudnego, imo 6c</t>
  </si>
  <si>
    <t>cała równa po małych chwytach sciskach lub krawądach, brak wyraźnego cruxa</t>
  </si>
  <si>
    <t>Noga Róż</t>
  </si>
  <si>
    <t>crux jako czujne wyjscie do słabych podchwytów oraz nieco trudnosi pod okapem (dokładka do słabej krawądy)</t>
  </si>
  <si>
    <t>Blue Tmavomodry'swiet - Niebieskie odciągi</t>
  </si>
  <si>
    <t>Speedwall R</t>
  </si>
  <si>
    <t>Speedwall</t>
  </si>
  <si>
    <t>Większośćdrogi to max 6b+, ostatnie 3 wpinki 6c+</t>
  </si>
  <si>
    <t>Vojta V</t>
  </si>
  <si>
    <t>Yellow Kurz - żółte placki</t>
  </si>
  <si>
    <t>Równa ciągle po 1cm plackach w stylu piaskowcowym. Miała kilka restów średnich. Dobra treningowa. Jeśli był crux to taki że były ze 3 nieco tylko mniejsze chwyty, które dało się pokonać po prostu rozpędem i dobrą taktyką jeb jeb jeb i po cruksie</t>
  </si>
  <si>
    <t>Black Cat White Cat</t>
  </si>
  <si>
    <t>lekkie przewieszenie, trawers, od połowy zacięciem</t>
  </si>
  <si>
    <t>czujny start przez pierwsze 4 wpinki, krawądkowe placki w całości. Crux w wejściu do zaciecia polegający na niewygodnie wysokim zacięciowym stopniu w czasie kucania na prawej nodze na słabym stopniu. Może dało sie to zrobić sprytniej. Potem kilka ruchów z pleców i solidny nohand. Po rescie już ternem za 6c w zacięciu do topu z jednym ewentualnym restem</t>
  </si>
  <si>
    <t>KANT(A) - czerwone</t>
  </si>
  <si>
    <t>7b</t>
  </si>
  <si>
    <t>Noga L</t>
  </si>
  <si>
    <t>pion z kantem</t>
  </si>
  <si>
    <t>Fajne wychodzenie na stopnie wysoko zadzierając nogi, raczej techniczne i raczej może być zasięgowe. Crux ewidentnie jest parametyczny i polega na balansie na wyglądającej na wyślizganą paczce. Szybko poszło, i nie czuję żeby to było warte 7b, szczególnie że już w 2giej próbie a na onsajcie też ładnie szło. Możliwe że troche fartem bo otarłem sie o lot. Wszystkie wpinki raczej łatwe poza przedostatnią</t>
  </si>
  <si>
    <t>Puss in Boots - Green</t>
  </si>
  <si>
    <t>Zaułek prosto</t>
  </si>
  <si>
    <t>przewieszenie i pion</t>
  </si>
  <si>
    <t>czujne oblaki i krawądziaste płytkie sciski na start, przestrzał do lepszej krawądy złożonej z 2 na znak V, 3 słabnące dziurki aż do cruxa na słabej krawądzie przewaleniu się przez paczkę i wypionizowanie. Jeden niezły rest, a do końca dobre krawądy z jednym siłowym krzyżem przed topem</t>
  </si>
  <si>
    <t>Różowa</t>
  </si>
  <si>
    <t>Noga P</t>
  </si>
  <si>
    <t>wywieszajacy się pion w trawersie w lewo</t>
  </si>
  <si>
    <t>Najpierw łatwe odciągi do połowy. Od połowy 3 ciągi z dalekimi ruchami. Kluczowy ruch to jebnięcie z dokładki w poprzek prawą ręką w lewo do klamki, a potem to jeszcze trzeba dotrwać do końca. Zrobiłem na limesie</t>
  </si>
  <si>
    <t>Jan</t>
  </si>
  <si>
    <t>Czarna po listewkach</t>
  </si>
  <si>
    <t>równa, pod koniec może troche dopierdziela, są nawet jakieś resty, łatwiejsza od białej w tej samej wycenie 2023</t>
  </si>
  <si>
    <t>Kaśka od Byśka sekcji</t>
  </si>
  <si>
    <t>Biała na Nodze</t>
  </si>
  <si>
    <t>noga left</t>
  </si>
  <si>
    <t>pion z elementami przewieszeia</t>
  </si>
  <si>
    <t>treudne chwyty na starcie łątwiejsze w środku a potem pizda po chujowych oblakach, jeszcze jeden oblak i dałbym 7a</t>
  </si>
  <si>
    <t>Różowe tufo cyce</t>
  </si>
  <si>
    <t>znacznie przewieszone</t>
  </si>
  <si>
    <t>wybiera po dużych chwytach z kilkoma pozycjami raczej 6b+ przez pierwsze 75%, pod koniec zmiana chwytów na gorsze dziórki które trzeba zrobić na wyczerpaniu sił</t>
  </si>
  <si>
    <t>Czarne muszle</t>
  </si>
  <si>
    <t>czujny początek po słabych chwytach potem partie słabszych chwytów oddzielane lepszą klamą. Pod koniec same klamy już prawie tylko ale ledwo sie je trzyma już</t>
  </si>
  <si>
    <t>Różowe na nodze front</t>
  </si>
  <si>
    <t>Noga front</t>
  </si>
  <si>
    <t>typowe różowe piaskowcowe, końcówka po włosach cioci, chwyty robią się chujowe. Ruch do wyporu prawej reki i stopniem z lewej, końcówka czujna</t>
  </si>
  <si>
    <t>Red</t>
  </si>
  <si>
    <t>od połowy po krawądkach, caraz dłuższe ruchy</t>
  </si>
  <si>
    <t>Biała zaułkowa</t>
  </si>
  <si>
    <t>wszytkie rodzaje chwytów i ciekawe ustawienia i ciekawe ruchy</t>
  </si>
  <si>
    <t>Mario?</t>
  </si>
  <si>
    <t>Ewa Malinowska</t>
  </si>
  <si>
    <t>Czerwone na speedwallu</t>
  </si>
  <si>
    <t>oblaki dziórki i dalekie ruchy</t>
  </si>
  <si>
    <t>Zielona zaułkowa</t>
  </si>
  <si>
    <t>FL</t>
  </si>
  <si>
    <t>SOFT, klinowanie pięści, piętaszki i dziwności trochę</t>
  </si>
  <si>
    <t>Blanka Wysocka</t>
  </si>
  <si>
    <t>Żółta w dachu</t>
  </si>
  <si>
    <t>6b+</t>
  </si>
  <si>
    <t>dach</t>
  </si>
  <si>
    <t>szemrane w ciul</t>
  </si>
  <si>
    <t>Różowy zaułek</t>
  </si>
  <si>
    <t>Trochę patenciarska i jeden stopień na drodze jest czerwony zamiast różowy. Pominąłem 4 wpiny do topu !!!!!!</t>
  </si>
  <si>
    <t>Czerwona Speedwall</t>
  </si>
  <si>
    <t>do połowy dość łatwa, ale trzeba zakonserwować prąd na koncówkę, bo ma jeden lub dwa ruchy nieintuicyjne z dokłądką na dość płytkim chwycie</t>
  </si>
  <si>
    <t>Fiolet na połogu</t>
  </si>
  <si>
    <t>połogo pion</t>
  </si>
  <si>
    <t>moje ulubione chwyty, oblako-ściski, możliwe że dla wysokich będzie łatwiejsze, niższe osoby będą musiały dynamicznie robić kilka przechwytów. Dwa 4kowe baldy w połowie i ze 3 sensowne resty. Końcówka po dość średnich sciskach, ale top dobrze trzyma już, więc bezpiecznie</t>
  </si>
  <si>
    <t xml:space="preserve">Pomarańczka </t>
  </si>
  <si>
    <t>6b+/c</t>
  </si>
  <si>
    <t>troche takie pitu pitu do 3/4 a potem nagle jeb po mordzie ale 6c to tak na wyrost</t>
  </si>
  <si>
    <t>Żółte piaskowce</t>
  </si>
  <si>
    <t>żółte piaskowcowe odpryski, placki, zaoblenia, ciągowe dosyć ale z jednym takim sobie restem</t>
  </si>
  <si>
    <t>Czarne 7B</t>
  </si>
  <si>
    <t>Noga Left</t>
  </si>
  <si>
    <t>Pion z okapikiem</t>
  </si>
  <si>
    <t>cały czas wspinanie, jeden solidny rest na samym dole, kilka naprawdę słabych po drodze gdzie starczyło tylko na zrzucenie ręki jeden raz, droga ma z 5 cruxów. Pierwszy siłowy przewinięcie za kant do balansu na oblak, 2gi wyjscie do okapu, 3ci to pasaż 4 słabych pizdryków, 4ty to zaraz za pizdrykami 2 naprawdę gówniane oblaki na scisk, za oblakami chujowy rst na płytkiej płaskiej krawądzie, 5ty crux to wyjscie  z restu do kolejnej krawądy, 6ty crux to przejscie kolejnego pasaży 2 oblaków działających na odciąg ale tak sobie, 7ma trudność to już wytrzymać ciag do topu po lepszych krawądach</t>
  </si>
  <si>
    <t>Sveta</t>
  </si>
  <si>
    <t>Zółta zułek kant</t>
  </si>
  <si>
    <t>przewieszony kant i pion</t>
  </si>
  <si>
    <t>najpierw kilka klamek, ładna horyzontalna piętka wisząc na lewej nodze, a potem przewinięcie na pion, rest i pompa do końca już</t>
  </si>
  <si>
    <t>Aneżka</t>
  </si>
  <si>
    <t>Czarna sportowy Mario</t>
  </si>
  <si>
    <t>sportowy</t>
  </si>
  <si>
    <t>przewieszone dość</t>
  </si>
  <si>
    <t>kneebar i rest przed topem albo lecisz</t>
  </si>
  <si>
    <t>Fiolet sportowy Mario</t>
  </si>
  <si>
    <t>końcówka po mniejszych</t>
  </si>
  <si>
    <t>cholernie pompująca, długa i w sumie po dobrych chwytach bez wyraznego cruxa, ale pompa i wydyma</t>
  </si>
  <si>
    <t>po kancie, podhaczka, kilka głębokich krzyży</t>
  </si>
  <si>
    <t>Mateusz</t>
  </si>
  <si>
    <t>Różowy Speed Slalom</t>
  </si>
  <si>
    <t>łatwo łatwo, potem zygzakowaty bald za 4+, slalom po szerokich kompresjach rest i kolejny bald za 4</t>
  </si>
  <si>
    <t>Fiolet Oblak Piętami</t>
  </si>
  <si>
    <t>noga</t>
  </si>
  <si>
    <t>pion z okapem</t>
  </si>
  <si>
    <t>dość czujny początek, wiele wchodzenia na stopo balans, sekwencja pięta za piętą, dwa wyjscia w podchwyt na oblajach i trickowy nieco top żeby sie nie spieszyć tylko zamienić nogi i podejsc wyżej na prawej</t>
  </si>
  <si>
    <t>Róż połóg M</t>
  </si>
  <si>
    <t>Mnich</t>
  </si>
  <si>
    <t>krawądy w większości i dobre, kilka ciekawych wyjść na balans nogami wysoko podnoszonymi, genitalia w scianę, końcówka na małej krawądzie na której zabolał mnie staw w palcu serdecznym lewej ręki, ale wytrzymałem do końca</t>
  </si>
  <si>
    <t>Zielone dziórki spidłol</t>
  </si>
  <si>
    <t>przewieszeie</t>
  </si>
  <si>
    <t>Czarne krawądki zaułek</t>
  </si>
  <si>
    <t>Zaułek</t>
  </si>
  <si>
    <t>jednak 7a+ ale takie z tych sytych. Bo jest rest całkiem nawet dobry. Nie taki do zera ale można przed koncowym cruxem trochę sapnąć. Nie ma tam ruszku za 7b ale jest powiedzmy trochę ciągu. No i jednak aż 6 wstawek</t>
  </si>
  <si>
    <t>Tufa na antresoli</t>
  </si>
  <si>
    <t>Antresola</t>
  </si>
  <si>
    <t>przewieszenie lekkie</t>
  </si>
  <si>
    <t>tufa tufa tufa</t>
  </si>
  <si>
    <t>Christian</t>
  </si>
  <si>
    <t>Pomarańczka antresolowa</t>
  </si>
  <si>
    <t xml:space="preserve">po </t>
  </si>
  <si>
    <t>Jenda?</t>
  </si>
  <si>
    <t>przewieszenie</t>
  </si>
  <si>
    <t>nie ma bata że ma wiecej niz 7a+, cały czas w miarę dobre chwyty, w trudnościach trzeba na żabę obie nogi wysoko i sięgnięcie prawą ręką wysoko do krawądy</t>
  </si>
  <si>
    <t>Pomarańczowa noga NW</t>
  </si>
  <si>
    <t>Noga</t>
  </si>
  <si>
    <t>w trudnościach kilka przestrzałów na odcięciu ale niektórzy twierdzą że bardziej 6c... ja myślę że minimum 6c+</t>
  </si>
  <si>
    <t>Niebieskie oblaki Mnicha</t>
  </si>
  <si>
    <t>pionopołóg</t>
  </si>
  <si>
    <t>oblaki i oblaki z jedną paczką pod topem. tudność polega na jebnięciu do słabszego oblaka ze średniej pozycji ale też nie jakoś bardzo złej i lekki ciąg do końca z restem na paczce</t>
  </si>
  <si>
    <t>Niebieska noga SW</t>
  </si>
  <si>
    <t>troche oblaków na początek a potem wygibasy na krawądkach obłych, podchaczka palców z wyporem</t>
  </si>
  <si>
    <t>Czarne tufy speedwalla</t>
  </si>
  <si>
    <t>popierdolone, bardzo trudne dla mnie pozycje i ruchy bez stopni</t>
  </si>
  <si>
    <t>Czerwona Olimpijska zaułek</t>
  </si>
  <si>
    <t>Zaułek + dach</t>
  </si>
  <si>
    <t>bardzo ładne i efekciarskie, podwójny kneebar w dachu z wiszeniem rękami w dół, jeszcze kilka średnich restów oddzielonych siłowymi ciągami po 5-8 przechwytów, pod topem podpierdolka ze schowanym pod paczką stopniem, a było by w RP3</t>
  </si>
  <si>
    <t>Bysiek</t>
  </si>
  <si>
    <t>Zielona Sportowe wulkany</t>
  </si>
  <si>
    <t>Sport</t>
  </si>
  <si>
    <t>Biała Sportowy</t>
  </si>
  <si>
    <t>Wszołek?</t>
  </si>
  <si>
    <t>Peta Żółta</t>
  </si>
  <si>
    <t>crux na starcie sekwencyjny, potem kilka mniej złych chwytów i kolejne kilka słabszych, ciag w środku ale pod topem robi sie bardzo łatwo</t>
  </si>
  <si>
    <t>Pet'a</t>
  </si>
  <si>
    <t>Peta Biała</t>
  </si>
  <si>
    <t>bardzo syta droga, po małych i kblakach, techniczna i ciągowa</t>
  </si>
  <si>
    <t>powtórka</t>
  </si>
  <si>
    <t>Niebieskie ścisko krawądki</t>
  </si>
  <si>
    <t>jak to wyceniali na swieżo to było 6c/+ ale jak chwyty zaszły to 7a+</t>
  </si>
  <si>
    <t>Wrzołek</t>
  </si>
  <si>
    <t>Mario Noga Orange</t>
  </si>
  <si>
    <t>crux w przewieszeniu po krawądkach z piętą</t>
  </si>
  <si>
    <t>Mario Noga Orange - repeta</t>
  </si>
  <si>
    <t>Żółta Mario Speedwall</t>
  </si>
  <si>
    <t>kilka cruxów</t>
  </si>
  <si>
    <t>przewieszone i pionowe</t>
  </si>
  <si>
    <t>powtórka, Nawet sie nie zmęczyłem</t>
  </si>
  <si>
    <t>Żółta na Mnichu z Baldem na koncu</t>
  </si>
  <si>
    <t>połogie</t>
  </si>
  <si>
    <t>ledwo ale SOFT</t>
  </si>
  <si>
    <t>NIebieskie krawądki speedwall</t>
  </si>
  <si>
    <t>HARD, ledwo</t>
  </si>
  <si>
    <t>Żółte baldy w zaułku</t>
  </si>
  <si>
    <t>przewieszone lekko</t>
  </si>
  <si>
    <t>pierwsza połowa to walka o życie a crux jest tak przepatenciarski że ostatecznie zrobiłem go czystą siłą bez wpinki, więc dobrze że nie przyglebiłem. Tak bardzo nie lubie ze potrzebowałem solidnej dawki wkurwienia żeby to przejść na zasadzie miejmy to już z głowy</t>
  </si>
  <si>
    <t>Fonda</t>
  </si>
  <si>
    <t>Różowa na nodze</t>
  </si>
  <si>
    <t>przewieszone solidnie</t>
  </si>
  <si>
    <t xml:space="preserve">jest troche ciągu ale w trudnych chwilach pojawiają się klameczki na pół dłoni, a skok do topu w sumie jest jak dalsze sięgnięcie </t>
  </si>
  <si>
    <t>Fioletowa 7b+</t>
  </si>
  <si>
    <t>7b+</t>
  </si>
  <si>
    <t>Żółte tufy na kancie po przewiesze</t>
  </si>
  <si>
    <t>przewieszone zwyczajnie</t>
  </si>
  <si>
    <t>HARD, ale z zapasem, bardzo mądrze poprowadziłem, żółte tufy ba kancie zaułka</t>
  </si>
  <si>
    <t>Czerwone z lewej Mnicha z klinami</t>
  </si>
  <si>
    <t>lotne, klinowanie nie podeszło ale kilka ciekawych pozycji i dulferek plecami o sciane antresoli i paczke</t>
  </si>
  <si>
    <t>Sportowe róże</t>
  </si>
  <si>
    <t>Sportowy</t>
  </si>
  <si>
    <t>nareszcie, zmieniłem sekwencje przy scisko placuszkach</t>
  </si>
  <si>
    <t>żółte</t>
  </si>
  <si>
    <t>pionowe</t>
  </si>
  <si>
    <t>Wszołek</t>
  </si>
  <si>
    <t>Dach Pomarańcz</t>
  </si>
  <si>
    <t>Dach</t>
  </si>
  <si>
    <t>Fajne, pierwsza droga w dachu OS powyzej 6c</t>
  </si>
  <si>
    <t>Jenda</t>
  </si>
  <si>
    <t>Dach Niebieska</t>
  </si>
  <si>
    <t xml:space="preserve">żółta speedwall </t>
  </si>
  <si>
    <t>Beztrosko - żółta</t>
  </si>
  <si>
    <t>7c</t>
  </si>
  <si>
    <t>pierwsze 7c, i wiem ze to nie szemranka. Pierwsze wstawki nie rokowały. Każda kolejna udowadniała ze crux jest potężny a końcówka może jeszcze być loterią</t>
  </si>
  <si>
    <t>czerwone w zacieciu speedwalla i mnicha</t>
  </si>
  <si>
    <t>jak na 7b/b+ poszło zaskakująco szybko ale też było walczone</t>
  </si>
  <si>
    <t>różowa na płąskiej "Dla koneserów"</t>
  </si>
  <si>
    <t>płaska</t>
  </si>
  <si>
    <t>skurwiałe krawądki i dużo wklejania biodra</t>
  </si>
  <si>
    <t>Piotrek s sekcji Toma</t>
  </si>
  <si>
    <t>czerwona noga</t>
  </si>
  <si>
    <t>Remi</t>
  </si>
  <si>
    <t>Harda Suka - czarna noga</t>
  </si>
  <si>
    <t>pion przewieszenie pion</t>
  </si>
  <si>
    <t>chyba pierwsze 7a+ FL, ponoć soft</t>
  </si>
  <si>
    <t>Niebieskie z dachu w pion</t>
  </si>
  <si>
    <t>przewieszona i pion</t>
  </si>
  <si>
    <t>7b w 2giej wstawce - musiała mi bardzo podejść. dziwne ale bardziej sie zmęczyłem na Hardej suce 7a+ soft niż na tym</t>
  </si>
  <si>
    <t xml:space="preserve">Żółte sportowe </t>
  </si>
  <si>
    <t>przewieszona</t>
  </si>
  <si>
    <t>znalazłem 3 resty na złapanie oddechu, ze dwie podpierdolki sekwencyjne ale sie połapałem i nie dałem wprowadzić w maliny</t>
  </si>
  <si>
    <t>różowa sport</t>
  </si>
  <si>
    <t>trening</t>
  </si>
  <si>
    <t>czarna sport</t>
  </si>
  <si>
    <t>Żółte sportowe repeta</t>
  </si>
  <si>
    <t>repeta</t>
  </si>
  <si>
    <t>czarna sport prawa Mario</t>
  </si>
  <si>
    <t>Czerwone 7c - Milestone za 7b</t>
  </si>
  <si>
    <t>dojście na czerwonym 7c przez scisk i krawądke do łatwiejszej sekcji. Jako takie dałbym 7b</t>
  </si>
  <si>
    <t>dojście na czerwonym 7c do scisku i odpadniecie z kolejnego ruchu. daje 7a+/b</t>
  </si>
  <si>
    <t>dojście na czerwonym 7c do chwytu przed trudnosciami. daje 7b/+</t>
  </si>
  <si>
    <t>niebieska speed 7a</t>
  </si>
  <si>
    <t>Eryk</t>
  </si>
  <si>
    <t>czerwpma speedwall 6c+</t>
  </si>
  <si>
    <t>fiolet mnich 6c+</t>
  </si>
  <si>
    <t>czarne listwy</t>
  </si>
  <si>
    <t>powracanie do formy jest męczące</t>
  </si>
  <si>
    <t>Czerwone klamy</t>
  </si>
  <si>
    <t>Tom</t>
  </si>
  <si>
    <t>Niebieska Noga L1</t>
  </si>
  <si>
    <t>raczej 7a+ hard. To była droga pierwotnie wyceniona na 7b+ ale wycena zeszła w dół.</t>
  </si>
  <si>
    <t>żółte tufy</t>
  </si>
  <si>
    <t>sport</t>
  </si>
  <si>
    <t>raczej 7a+ ale może i 7b. dostala wycene 7b, wiec niech będzie ze 7b. Później wstawiałem sie treningowo i nie dolazłem do resta nawet</t>
  </si>
  <si>
    <t>czerwone z brzegu lewego klamy</t>
  </si>
  <si>
    <t xml:space="preserve">raczej 7a </t>
  </si>
  <si>
    <t>niebieskie wulkany</t>
  </si>
  <si>
    <t>czerwone dziórki</t>
  </si>
  <si>
    <t>poł</t>
  </si>
  <si>
    <t>na rozgrzewkę</t>
  </si>
  <si>
    <t>REP</t>
  </si>
  <si>
    <t>raczej 7a soft</t>
  </si>
  <si>
    <t>żółte tufki junior</t>
  </si>
  <si>
    <t>droga ładna, podobna do żółtych tuf nieopodal, to samo rozdanie ale nie wiem która łatwiejsza. ta poszła w 4 próby a 7b w 2giej już...</t>
  </si>
  <si>
    <t>niebieska z grzybem</t>
  </si>
  <si>
    <t xml:space="preserve">sam nie wiem. najpierw mi sie wydawała łatwa, bo na flashu doszedłem pod sam top. a pozniej był jakis spadek formy chyba i nie podobała mi sie jako taka </t>
  </si>
  <si>
    <t>czerwona do połowy łatwa z pocketem</t>
  </si>
  <si>
    <t>dopiero we wstawce późnej zrozumiałem betę na cruxa. w 4tej doszedłem za pierwszego cruxa (wysoki pocket na 3 palce) i odpusciłem przy drugim cruxie, a szkoda bo okazał sie jedynie szybkim dołożeniem do podwojnej dziórki</t>
  </si>
  <si>
    <t>biała ciągowa na sportowym</t>
  </si>
  <si>
    <t>hard i długa, byłbym zrobił w 3ciej próbie gdybym nie popierdolił sekwencji, 4ta próba była na zmęczeniu zaraz po 3ciej, 5ta w chorobie, a 6ta albo to moze było w 5tej zrobione juz nie pamiętam</t>
  </si>
  <si>
    <t>Szmaragd</t>
  </si>
  <si>
    <t>ciąg prawie do topu, dobry rest przed końcem, większośc chwytów to niezłe obłe listeweczki raczej jako niezłe chwyty. treudnośc wynika z ciągu. jeden pasaż krawadkowy . solidne już przewieszenie</t>
  </si>
  <si>
    <t>różyk</t>
  </si>
  <si>
    <t>sporo restów ciekawych ruchów (feet first), knebar solidny w części łatwej, potem w samych dachu też kucająca żaba na popizdułku, a 2ga połow drogi to ciąg po niezłych i bardzo dobrych chwytach aż do topu</t>
  </si>
  <si>
    <t>x</t>
  </si>
  <si>
    <t>Różowa Baldofobia</t>
  </si>
  <si>
    <t>średnio trudno do cruxa z wyporem, a potem do topu 6b</t>
  </si>
  <si>
    <t>Eryk Matowski</t>
  </si>
  <si>
    <t>Brontofobia - biała</t>
  </si>
  <si>
    <t>7b+/c</t>
  </si>
  <si>
    <t>czasem po popizdółkach, dość ciagowa, na wyjebce, ale dowiozłem do końca</t>
  </si>
  <si>
    <t>WYCENA</t>
  </si>
  <si>
    <t>SUBIEK</t>
  </si>
  <si>
    <t>PIĘKNO WSPINANIA</t>
  </si>
  <si>
    <t>@</t>
  </si>
  <si>
    <t>Semazen</t>
  </si>
  <si>
    <t>**</t>
  </si>
  <si>
    <t>Turkey, Geyikbayırı, Ottoman Right</t>
  </si>
  <si>
    <t>Ciąg z dobrym restem w połowie. Do połowy pion potem mantla i top</t>
  </si>
  <si>
    <t>Zen Attitude</t>
  </si>
  <si>
    <t>****</t>
  </si>
  <si>
    <t>wszystko po trochu</t>
  </si>
  <si>
    <t>Patlican</t>
  </si>
  <si>
    <t>***</t>
  </si>
  <si>
    <t>Turkey, Geyikbayırı, Coridor</t>
  </si>
  <si>
    <t>Rocket Man</t>
  </si>
  <si>
    <t>Turkey, Geyikbayırı, Left Cave</t>
  </si>
  <si>
    <t>pionowe zacięcie, przewieszony, tufa, połóg</t>
  </si>
  <si>
    <t>Prostowanie Almaturu</t>
  </si>
  <si>
    <t>Poland, Jura Krakowsko - Częstochowska, Podzamcze/ Góra Birów i Suchy Połeć</t>
  </si>
  <si>
    <t>Sputnik KW</t>
  </si>
  <si>
    <t>*</t>
  </si>
  <si>
    <t>Poland, Jura Krakowsko - Częstochowska, Dolina Wiercicy</t>
  </si>
  <si>
    <t>przewieszony trawers, okap</t>
  </si>
  <si>
    <t>Pragnienie</t>
  </si>
  <si>
    <t>Poland,  Jura Krakowsko - Częstochowska,  Łutowiec,  Słoń</t>
  </si>
  <si>
    <t>przewieszony bald</t>
  </si>
  <si>
    <t>przewieszony bald po chwytach z oblakiem. Zero dziurek. Warto to przewspinać, bo jest kozackie, tylko krótkie. https://www.youtube.com/watch?v=iAVYfWSn90k</t>
  </si>
  <si>
    <t>Prostowanie Roju</t>
  </si>
  <si>
    <t>Poland, Jura Krakowsko - Częstochowska, Łutowiec</t>
  </si>
  <si>
    <t>przewis i pion</t>
  </si>
  <si>
    <t>Przerysa Hubera</t>
  </si>
  <si>
    <t>Poland, Stokówka</t>
  </si>
  <si>
    <t>przewieszony trawers</t>
  </si>
  <si>
    <t>Otolastik</t>
  </si>
  <si>
    <t>Turkey,  Geyik bayiri,  Rüzgarli Bahçe</t>
  </si>
  <si>
    <t>połogo i crux w pionie</t>
  </si>
  <si>
    <t>Zaczyna sie bardzo fajnym 6b aż dochodzi do cruxa, którym jest 5cio ruchowa sekwencja po chuj wie czym jakby chrupkach, krawądziastych spękanych oblakach, aż do solidnej zaginającej krawądy z którj robi sie kluczową wpinę, a potem szybka ucieczka z pompy do połogu i rest do zera, top to formalność</t>
  </si>
  <si>
    <t>White Rabbit</t>
  </si>
  <si>
    <t>Italy,  San Vito lo Capo,  Camping,  Unknown Sector</t>
  </si>
  <si>
    <t>pionowo</t>
  </si>
  <si>
    <t>Po linii ringów ma 7a. Bardzo ładny i łatwy początek, przyjemne wspinanie aż do topu gdzie jest crux na gładkiej płycie, dwa mocniejsze jebnięcia do krawądko ścisku w plecy i robi sie łatwiej</t>
  </si>
  <si>
    <t>Alfa Romeo</t>
  </si>
  <si>
    <t>Italy, San Vito lo Capo, Cala Mancina</t>
  </si>
  <si>
    <t>pion z okapem po drodze</t>
  </si>
  <si>
    <t xml:space="preserve">W pierwszej próbie przestraszyłem się kompletnie wyświechtanego stanu stopni na wyjsciu z cruxowego okapu, a potem zobaczyłem, że z górnej częsci okapu wystaje klama, której znajomość pozwala dosłownie wdrapać się na okap dulfrem i jebnięciem. Droga kontrowersyjna bo idąc klatą po ringach to by musiało już być co najmniej 7b jeśli nie więcej </t>
  </si>
  <si>
    <t>Tricheco</t>
  </si>
  <si>
    <t>Italy, San Vito lo Capo, Crown of Aragon</t>
  </si>
  <si>
    <t>pion, trawers, przewieszenie, zacięcie, pion</t>
  </si>
  <si>
    <t>Łatwy start, potem średnio trudny tufowy długi trawers, niezły rest przed cruxem, który polega na dość niewygodnym wyjsciu bokiem z okapu w strzał do oblaka i strzał do gałki a następnie wyjscie wyżej i kolejne 2-3 przestrzały do klam, potem już łatwo</t>
  </si>
  <si>
    <t>Hortum</t>
  </si>
  <si>
    <t>Turkey,  Geyik bayiri,  Yilan</t>
  </si>
  <si>
    <t>Tufa, troche przewieszona</t>
  </si>
  <si>
    <t>Jezu jakie to piękne. Wszystkie pierwsze 5 prób usiłowałem zapierać kolano między 2 tufy... co było błędem. Maciek pokazał lepszą betę i rozstawianie sie szeroko nogami o główną płetfę tufy i lewe zgrubienie dało najlepsze efekty żeby nie zmarnować się w sekcji tufy. Rest u szczytu tufy i piękne balansowe wyjście do pizdeczko chrupka bez kształtu ale co trzyma dobrze w plecy i dokłądka i wpina i potem już robi się ostro i łatwiej znacznie, byle tego nie spierdolić teraz</t>
  </si>
  <si>
    <t>Training Segreto</t>
  </si>
  <si>
    <t>Wpuszczane dziury, klamy i kilka gorszych chwytów. Ciągowa. Rest przed topem</t>
  </si>
  <si>
    <t>The riddle</t>
  </si>
  <si>
    <t>pion i połóg</t>
  </si>
  <si>
    <t>Trochę szemranka - Polecam Pierwszy FL w tej cyfrze. Początek może być parametryczny</t>
  </si>
  <si>
    <t>Karinça Adasi</t>
  </si>
  <si>
    <t>pionowa ale w cruxie przewieszony okap, resty w dziurach wielkosci człowieka</t>
  </si>
  <si>
    <t>Droga fajna, byłem nieco zmęczony i niezdecydowany, ale po becie Maćka zobaczyłem że jest robliwa w stylu nogami pracuj a ręcyma banieczki i uciekaj z cruxa. W sumie fajna</t>
  </si>
  <si>
    <t>Crescendo</t>
  </si>
  <si>
    <t>Turkey,  Geyik bayiri,  Mevlana</t>
  </si>
  <si>
    <t>przewieszone zacięcie</t>
  </si>
  <si>
    <t>Tyle emocji. Brutalna, raczej miała 7a+ niż 7a. W sumie pouczająca i to cholernie. Jak złapałem top to krzyczałem, krzyczałem i płakałem prawie ze wszystkiego wszystkiego tylko nie ze szczęscia. Wszystkie wpiny poza linią drogi poza 2ma ostatnimi. Odhaczone</t>
  </si>
  <si>
    <t>Cennet Cehennem</t>
  </si>
  <si>
    <t>Turkey,  Olympos,  Cennet</t>
  </si>
  <si>
    <t>Wpinki czasami nie w lini wspinu. Łatwa do urobienia, raczej z tych prostych choć jest tam ciekawy ruszek dla psychy, tyle że ostatecznie patent na niego jest w sumie prosty i nie jest siłowy. Tak samo w niby cruxie wyżej można pierdolnąć banie albo można iść static i w sumie cruxem były by ze 2 sejkce gorszych chwytów pomiedzy średnimi restami</t>
  </si>
  <si>
    <t>Kraina Wytrwałych</t>
  </si>
  <si>
    <t>Poland,  Jura Krakowsko - Częstochowska,  Mirów,  Trzy Siostry</t>
  </si>
  <si>
    <t>pionowy start i przewieszony bald, potem połogo</t>
  </si>
  <si>
    <t>Start z kamienia i flejka, nie ma wyraźnych stopni ale tarcie na stukturze jest świetne. Po trzecim przelocie jest crux polegający na bani do wpuszczanej krawądy, podhaczki pięty przestrzale do podchwytu. Przejscie w prawo i wysoka pięta do wyjścia na mantlę. Potem już łatwo. Pod topen nieco trudniej bo mało chwytów</t>
  </si>
  <si>
    <t>Linia życia</t>
  </si>
  <si>
    <t>Poland, Jura Krakowsko - Częstochowska, Mirów nad Wartą</t>
  </si>
  <si>
    <t>start w baldzie przewieszonym i pion</t>
  </si>
  <si>
    <t>Start balderowy, podchwyt na 2 palce i jenięcie do klamy. Dulferem przez 5-6 przechwytów i przejscie na sliską płytę nogami. Walnięcie do klamy i potem łatwo</t>
  </si>
  <si>
    <t>Wściekłe palce</t>
  </si>
  <si>
    <t>Poland, Jura Krakowsko - Częstochowska, Sokole góry</t>
  </si>
  <si>
    <t>pion przewieszenie</t>
  </si>
  <si>
    <t>myślałem ze parametryczne, ale nie, ważna praca nóg i siła kontaktowa może się przydać. Uproszczona sekwencja startowa, 5 przechwytów do cruxa zamiast ośmiu, bez kłamy odciągowej przy 1-wszej winie. Sekwencja ze ściskiem prawej ręki zamiast lewej w plecy. Odległość miedzy dobrymi chwytami w cruxie wynosi ~182cm. I tyle trzeba mieć w ramionach żeby liczyć to za VI.2+, jeśli masz mniej to nie jebniesz i musisz kombinować sekwencją, która już będzie raczej za VI.3.</t>
  </si>
  <si>
    <t>Flaczki z mnicha</t>
  </si>
  <si>
    <t>pion połog, trawers</t>
  </si>
  <si>
    <t>VI.3 Zajebista. Bardzo urozmaicone wspinanie. SPOJLER: Trzy baldy oddzielone restami. Pierwszy bald na starcie w gatunku "złap mnie jeśli potrafisz", drugi bald wchodzi w dość bezchwytowy typowo chujowo jurajski teren ale to tylko 2-3 przechwyty i sam w sobie jest ostatecznie też badzo satysfakcjonujący, trzeci bald to sekwencja 10-12 ruchów która ma charakter narastająco pompujący.</t>
  </si>
  <si>
    <t>Szach i Mat</t>
  </si>
  <si>
    <t>Poland, Jura Krakowsko - Częstochowska, Siedlec</t>
  </si>
  <si>
    <t>pion połog, dach</t>
  </si>
  <si>
    <t>Porachunki po 3 latach. W pierwszej próbie dzisiaj. Dobre chwyty, lochy i wiadra. Mocne wyjscie na mantlę. Dwa resty do zera na balkonikach - takie że można tam obóz zakładać. Top jest cruxem i trzeba spiąć dupę trochę.</t>
  </si>
  <si>
    <t>Wejście Smoka</t>
  </si>
  <si>
    <t>Poland, Jura Krakowsko - Częstochowska, Boniek</t>
  </si>
  <si>
    <t>pion połog, przewieszenie</t>
  </si>
  <si>
    <t>VI.2 W sumie jeden trudny ruch, ale trudne na OS</t>
  </si>
  <si>
    <t>Kroniki Terminatora</t>
  </si>
  <si>
    <t>*****</t>
  </si>
  <si>
    <t>Rój</t>
  </si>
  <si>
    <t>pion połog</t>
  </si>
  <si>
    <t>pierwszy os VI.2, góra trudniejsza niz dół. dalekie walnięcie na dole gora parametryczna moze być, mam 177cm i jeszcze sięgnąłem</t>
  </si>
  <si>
    <t>Szwajcar</t>
  </si>
  <si>
    <t>przewiecha</t>
  </si>
  <si>
    <t>Człowiek, Który się Chujom nie Kłaniał</t>
  </si>
  <si>
    <t>Poland,  Jura Krakowsko - Częstochowska,  Łutowiec,  Knur</t>
  </si>
  <si>
    <t xml:space="preserve"> przewieszenie, pion</t>
  </si>
  <si>
    <t>VI.3 - czujne zacięcie i praca nóg tu robi robotę. Wyślizgane dość już mocno w zacięciu, gdzie potrzebna jest dobra stabilizacja. Kiedyś to może było VI.2+, bowiem wyobrażam sobie, że stopnie które dzisiaj mają polerkę, a które to są zajebiście kluczowe do ustabilizowania pozycji, mogły być kiedyś szorstkie. Niestety dziś już zupełnie są ze szkła i trzeba więcej wiary i więcej spięcia dupy oraz rozluźnienia głowy, żeby poczuć się tam pewnie. Droga ma też jeden element lekko parametryczny. Jak dla mnie syte 7a</t>
  </si>
  <si>
    <t xml:space="preserve">Konkretny bald na starcie, z takich co dają mega satysfakcję </t>
  </si>
  <si>
    <t>Frankoręki</t>
  </si>
  <si>
    <t>nieco zasypane brudem bylo, wersja z oblakami. w sumie nie urzekło mnie jakos. rozwiesilem i poprowadzilem w rp2</t>
  </si>
  <si>
    <t>Białe Noce</t>
  </si>
  <si>
    <t>przewieszone zaciecie, pion</t>
  </si>
  <si>
    <t>2 ruchy trzba wytrzymać</t>
  </si>
  <si>
    <t>Kawa bez czosnku</t>
  </si>
  <si>
    <t>Poland, Jura Krakowsko - Częstochowska, Dolina Czubrowicka</t>
  </si>
  <si>
    <t>pionowo po kancie</t>
  </si>
  <si>
    <t>równe cały czas</t>
  </si>
  <si>
    <t>Konrad Kruczkowski</t>
  </si>
  <si>
    <t>parchowate</t>
  </si>
  <si>
    <t>Cienki Bolek</t>
  </si>
  <si>
    <t>bald z liną, jeden ruch w lewo mocny</t>
  </si>
  <si>
    <t>Stop zwolnieniom z wf</t>
  </si>
  <si>
    <t>połóg a potem pion</t>
  </si>
  <si>
    <t>troche psychiczne, ma2 trudniejsze miejsca gdzie trzeba sie umieć wspinać :D... VI.3 soft, RP4, Super wspinanie, 2 ciekawe baldy z restem pomiędzy</t>
  </si>
  <si>
    <t>Jaek Stachyra</t>
  </si>
  <si>
    <t>Mitomaniak</t>
  </si>
  <si>
    <t>czujny pion i imantla</t>
  </si>
  <si>
    <t>VI.2+, RP2, piękna droga, tyle się na niej dzieje. Perełka!</t>
  </si>
  <si>
    <t>Fiction</t>
  </si>
  <si>
    <t>Claire</t>
  </si>
  <si>
    <t>Kalymnos</t>
  </si>
  <si>
    <t>sportowo, pion</t>
  </si>
  <si>
    <t>Io</t>
  </si>
  <si>
    <t>Sabaton</t>
  </si>
  <si>
    <t>Gorilla</t>
  </si>
  <si>
    <t>Berliner Wall</t>
  </si>
  <si>
    <t>połóg pion i troche przewieszki</t>
  </si>
  <si>
    <t>Karo</t>
  </si>
  <si>
    <t>Yoko M-Ono</t>
  </si>
  <si>
    <t>Mars</t>
  </si>
  <si>
    <t>Makari</t>
  </si>
  <si>
    <t>Chuck Notis</t>
  </si>
  <si>
    <t>sportowo</t>
  </si>
  <si>
    <t>Giakoumis</t>
  </si>
  <si>
    <t>fuj</t>
  </si>
  <si>
    <t>Attero Dominatus</t>
  </si>
  <si>
    <t>Sokolatina</t>
  </si>
  <si>
    <t>H.A.D.A</t>
  </si>
  <si>
    <t>Myrtoan</t>
  </si>
  <si>
    <t>Vlychada</t>
  </si>
  <si>
    <t>Brownie</t>
  </si>
  <si>
    <t>HADA</t>
  </si>
  <si>
    <t>połogo</t>
  </si>
  <si>
    <t>startowy crux potem ujdzie</t>
  </si>
  <si>
    <t>Zeus</t>
  </si>
  <si>
    <t>Theos</t>
  </si>
  <si>
    <t>Katsikos</t>
  </si>
  <si>
    <t>Jumanji</t>
  </si>
  <si>
    <t>Welcome Mossad</t>
  </si>
  <si>
    <t>przewieszone chrupki</t>
  </si>
  <si>
    <t>straszne gówno</t>
  </si>
  <si>
    <t>s.o.k. Ext</t>
  </si>
  <si>
    <t>piekne</t>
  </si>
  <si>
    <t>Roro</t>
  </si>
  <si>
    <t>przewieszone + połogo</t>
  </si>
  <si>
    <t>crux jest bardzo technicznu i ma bardzo małe krawądki lub płytkie 2ki z dokłądką na kciuk. kneebar w skręcie do wewnątrz i banieczka do dziurki</t>
  </si>
  <si>
    <t>Ramasca</t>
  </si>
  <si>
    <t>Skiadianiko</t>
  </si>
  <si>
    <t>przewieszone tufy</t>
  </si>
  <si>
    <t>jedna z ładniejkszych dróg w Leonidio</t>
  </si>
  <si>
    <t>Orange Express</t>
  </si>
  <si>
    <t>Adrspach wall</t>
  </si>
  <si>
    <t>strasznie głupio obite, wydawało się że cruxem jest zrobienie wpiny do topu bo był tak bezsensowanie oddalony od koncowego chwytu specjalnie dla utrudnienia</t>
  </si>
  <si>
    <t>Uzun ihsan</t>
  </si>
  <si>
    <t>Rüzgarli Bahçe</t>
  </si>
  <si>
    <t>różnorodne</t>
  </si>
  <si>
    <t>RP14, First 7b, 2/3 of the route is easy followed by good NHR. Finish part does the grade. Technical traverse, tufa with bad holds and reachy move to the anchor jugs.</t>
  </si>
  <si>
    <t>Styczniowe słońce</t>
  </si>
  <si>
    <t>VI.2+/VI.3 za cruxa i 6b+ za resztę drogi co razem da chyba już VI.3. Ciężko powiedzieć coś o pięknie tej drogi. Na dole jest cholernie męski statyczny problem, na którym można stęknąć. Potem są już prawie same klamy ale przewieszenie robi swoje. W wilgotniejsze dni błotko a w suche piach może trochę popsuć nam przygodę</t>
  </si>
  <si>
    <t>Éclat De Soleil</t>
  </si>
  <si>
    <t>Greece, Kalymnos, Poets</t>
  </si>
  <si>
    <t>Seems to be litle to soft for the grade. But 7a for sure.</t>
  </si>
  <si>
    <t>Ixion</t>
  </si>
  <si>
    <t>Greece, Kalymnos, Kalydna</t>
  </si>
  <si>
    <t>The crux is long but not very hard. Kalimnoskie 7a</t>
  </si>
  <si>
    <t>Nocny kochanek</t>
  </si>
  <si>
    <t>pion i przewieszenie</t>
  </si>
  <si>
    <t>Oblaki, kompresja i mała banieczka. Klatą po ringach. Albo miałem gorszy czas albo spokojnie to mogło by mieć VI.3+. Ostatecznie sam nie rozkminiłem jak zrobić wejscie w cruxa i dopiero w RP7 poprowadziłem w 2giej wstawce tego dnia. Znalazłem trudności raczej z 7a+ ale w skutecznej próbie wydawało się już łatwe. PS. Jeśli stojąc na palcach z wyciągniętą nad głowę ręką nie masz przynajmniej ~225cm to może być ci trudniej. PS. Trudniejsze od "Flaczki z Mnicha" w Dolinie Wiercicy ;P</t>
  </si>
  <si>
    <t>Prostowanie Cyklofrenii</t>
  </si>
  <si>
    <t>Poland, Jura Krakowsko - Częstochowska, Podlesice - Góra Kołoczek</t>
  </si>
  <si>
    <t>Straszne gówno - po pocketach</t>
  </si>
  <si>
    <t>Piętaszek</t>
  </si>
  <si>
    <t>Smieszne, i softowe w sumie</t>
  </si>
  <si>
    <t>Hakuna Matata</t>
  </si>
  <si>
    <t>Poland, Jura Krakowsko - Częstochowska, Kusięta</t>
  </si>
  <si>
    <t>pion i trochę przewieszenia</t>
  </si>
  <si>
    <t>VI.3 RP2, Kilka razy zarzucałem piętą jak hakiem, żeby odjąć balastu</t>
  </si>
  <si>
    <t>Paweł</t>
  </si>
  <si>
    <t>Ballada o Marsjanach</t>
  </si>
  <si>
    <t>SOFT. Mam to w dupie, że piszecie 6b :-) . Pierwszy os na 7a. Na górze w lewo bez prawego kantu, który miał być chyba ogranicznikiem naturalnym, ale nawet nie przyszło mi do głowy żeby go użyć. Przewijka przez mantlę raczej łatwa, natomiast dół i środek jest raczej cruxem jeśli już. Wydaje sie być łatwiejsza od lekko przewieszonej Hakuny mataty natomiast znacznie łatwiejsza od spirali :-) ... Rysa nie może być ogranicznikiem naturalnym ponieważ leci wzdłuż drogi. Kant na prawo od rysy natomiast jak najbardziej wychodzi już poza obszar drogi i ma szansę być ogranicznikiem. Nie mniej wszystkie trudności na tej drodze są poniżej tego więc wtf?</t>
  </si>
  <si>
    <t>Mandala Życia</t>
  </si>
  <si>
    <t>Poland, Sokoliki</t>
  </si>
  <si>
    <t>Ładna. Dobra na rozgrzewkę. Dwa baldy oddzielone klamą, moze nabić.</t>
  </si>
  <si>
    <t>Jam or Jump</t>
  </si>
  <si>
    <t>Italy, San Vito lo Capo, Calamancina</t>
  </si>
  <si>
    <t>It took me two journeys to send it. Side dyno variant. I wouldn't have recommended this one if I hadn't given it 13 tries 1 year ago and 6 this year, tries to send. So, in the end, I do recommend it.</t>
  </si>
  <si>
    <t>Paz y Salud</t>
  </si>
  <si>
    <t>Greece, Leonidio &amp; Kyparissi, Sabaton</t>
  </si>
  <si>
    <t>Adaś</t>
  </si>
  <si>
    <t>God Save Leonidio</t>
  </si>
  <si>
    <t>Rocky Erickson</t>
  </si>
  <si>
    <t>Greece, Leonidio &amp; Kyparissi, Theós</t>
  </si>
  <si>
    <t>Awesome! Soft. Good for first 7b. Very clever and convinient bolting. Easy to clean. Very esthetic climbing, mostly very good holds. Satisfying crux. After all it is not hard i think. With kneepad.</t>
  </si>
  <si>
    <t>Tout Est Relative</t>
  </si>
  <si>
    <t>Greece, Leonidio &amp; Kyparissi, H.A.D.A.</t>
  </si>
  <si>
    <t>piono połóg</t>
  </si>
  <si>
    <t>I felt it hard one. Maybe because I dont like slab cruxes. PL Tylko dlatego ze kolano siada to nie jest szrot. Raczej z tych trudnych. Po cruxie zwyzywalem cie od kurew i pomstowalem.</t>
  </si>
  <si>
    <t>And Cakes by Tonnes</t>
  </si>
  <si>
    <t>Good route! Aesthetic climbing. You will find every kind of hold</t>
  </si>
  <si>
    <t>Das Dumme Schwein</t>
  </si>
  <si>
    <t>Greece, Leonidio &amp; Kyparissi, King of Thrones</t>
  </si>
  <si>
    <t>połóg</t>
  </si>
  <si>
    <t>Grey hair</t>
  </si>
  <si>
    <t>Greece, Leonidio &amp; Kyparissi, mikri elvetia</t>
  </si>
  <si>
    <t>Koukou</t>
  </si>
  <si>
    <t>połóg i przewiecha</t>
  </si>
  <si>
    <t>7b in new topo but felt like 7a/+. Plus is for overhang. For some people the bottom part might be a first problem because it seems to be partially fragile. Short overhanged boulder with two hard moves and than some jugs to the end but some of them are fare away.</t>
  </si>
  <si>
    <r>
      <rPr>
        <color rgb="FF1155CC"/>
        <u/>
      </rPr>
      <t>Showdown</t>
    </r>
  </si>
  <si>
    <t>Turkey, Geyikbayırı, Yilan</t>
  </si>
  <si>
    <t>Long and reachy boulder problem in the middle. Tufa, pinches, underclings, crimps, pockets... every type of hold is there! :) It's much easier when the temperature drops. After 15 tries in August (30°C), I gave up, but in November (7°C), it was just a formality.</t>
  </si>
  <si>
    <r>
      <rPr>
        <color rgb="FF1155CC"/>
        <u/>
      </rPr>
      <t>Ciğerim Söndü</t>
    </r>
  </si>
  <si>
    <t>Turkey, Geyikbayırı, Top Alanı sağ</t>
  </si>
  <si>
    <t>30 st sport</t>
  </si>
  <si>
    <t>Great route! I really enjoyed climbing it. A nice mix of technical and pumpy moves on a 30° overhang.</t>
  </si>
  <si>
    <r>
      <rPr>
        <color rgb="FF1155CC"/>
        <u/>
      </rPr>
      <t>Karınca</t>
    </r>
  </si>
  <si>
    <t>Turkey, Geyikbayırı, Mağara</t>
  </si>
  <si>
    <t>połóg i przewieszenie z elementem dachu</t>
  </si>
  <si>
    <t>Maciek Tomkiewicz</t>
  </si>
  <si>
    <r>
      <rPr>
        <color rgb="FF1155CC"/>
        <u/>
      </rPr>
      <t>Sun Express</t>
    </r>
  </si>
  <si>
    <t>Turkey, Geyikbayırı, Turkish Standard</t>
  </si>
  <si>
    <r>
      <rPr>
        <color rgb="FF1155CC"/>
        <u/>
      </rPr>
      <t>Mission to Mars P1</t>
    </r>
  </si>
  <si>
    <t>przewieszenie i połóg</t>
  </si>
  <si>
    <r>
      <rPr>
        <color rgb="FF1155CC"/>
        <u/>
      </rPr>
      <t>Black Moon</t>
    </r>
  </si>
  <si>
    <t>The first 7b+. First rest double kneebar helped to sustain the endurance part. Second rest rather right kneebar. It provides good endurance challenges divided with two nohand rests.</t>
  </si>
  <si>
    <r>
      <rPr>
        <color rgb="FF1155CC"/>
        <u/>
      </rPr>
      <t>Poseidon</t>
    </r>
  </si>
  <si>
    <t>Turkey, Geyikbayırı, Poseidon</t>
  </si>
  <si>
    <t>The bottom was crimpy technical 6b+ and middle part with the crux migt be 7a/+ than a good rest and overhanged section that ups the ant with several bigger overhanged moves</t>
  </si>
  <si>
    <r>
      <rPr>
        <color rgb="FF1155CC"/>
        <u/>
      </rPr>
      <t>Black Meycik</t>
    </r>
  </si>
  <si>
    <t>Turkey, Beycik</t>
  </si>
  <si>
    <t>soft</t>
  </si>
  <si>
    <r>
      <rPr>
        <color rgb="FF1155CC"/>
        <u/>
      </rPr>
      <t>Lluna de mel</t>
    </r>
  </si>
  <si>
    <t>Spain, Margalef, Ca l'arna</t>
  </si>
  <si>
    <t>Bottom part easy and funn. Top was wet today. Alltogether nothing special.</t>
  </si>
  <si>
    <t>Adam Makłowski</t>
  </si>
  <si>
    <r>
      <rPr>
        <color rgb="FF1155CC"/>
        <u/>
      </rPr>
      <t>Abanibí</t>
    </r>
  </si>
  <si>
    <t>Spain, Margalef, Racó de Les Espadelles</t>
  </si>
  <si>
    <t>Ładny kant</t>
  </si>
  <si>
    <r>
      <rPr>
        <color rgb="FF1155CC"/>
        <u/>
      </rPr>
      <t>Setareh</t>
    </r>
  </si>
  <si>
    <t>Exceptional route. A bit polished already. One of the best 6c here</t>
  </si>
  <si>
    <r>
      <rPr>
        <color rgb="FF1155CC"/>
        <u/>
      </rPr>
      <t>Bambola</t>
    </r>
  </si>
  <si>
    <t>Spain, Margalef, Can Dit Xic</t>
  </si>
  <si>
    <t>pion połóg</t>
  </si>
  <si>
    <t>Dihedral and some endurance. Very monotonous route but also very equal on every part.</t>
  </si>
  <si>
    <r>
      <rPr>
        <color rgb="FF1155CC"/>
        <u/>
      </rPr>
      <t>Jeketepeke</t>
    </r>
  </si>
  <si>
    <t>Spain, Siurana, El Cargol</t>
  </si>
  <si>
    <t>Something went too easy. First crux was let say 7a. But than i went far left. I cant belive the straight beta would be possible to me. Anyway I give 5 stars. https://www.youtube.com/watch?v=T6iUToZzBuM</t>
  </si>
  <si>
    <r>
      <rPr>
        <color rgb="FF1155CC"/>
        <u/>
      </rPr>
      <t>Drogados y Construcciones</t>
    </r>
  </si>
  <si>
    <t>Spain, Margalef, Can Gueli</t>
  </si>
  <si>
    <t>przewiecha i pion</t>
  </si>
  <si>
    <t>Prawie OS Second one if we talk of beauty 7ths on the sector. It provides NHR in the middle and than is the crux made with pockets and sequences you have to survive</t>
  </si>
  <si>
    <r>
      <rPr>
        <color rgb="FF1155CC"/>
        <u/>
      </rPr>
      <t>Machoman</t>
    </r>
  </si>
  <si>
    <t>Might be the best 7a on the sector. Bottom has one hard move but than it is significantly easyer untill the crux 2 which is the harder one, but honestly it is still quite soft for the grade in terms of Margalef grades</t>
  </si>
  <si>
    <r>
      <rPr>
        <color rgb="FF1155CC"/>
        <u/>
      </rPr>
      <t>Maszyna prosta</t>
    </r>
  </si>
  <si>
    <t>Dolny crux chyba z 15 patentow aby znalezc ten wlasciwy. Gorny bald troche na styk sięganąłem. Calkiem fajna droga.</t>
  </si>
  <si>
    <r>
      <rPr>
        <color rgb="FF1155CC"/>
        <u/>
      </rPr>
      <t>Mafik</t>
    </r>
  </si>
  <si>
    <r>
      <rPr>
        <color rgb="FF1155CC"/>
        <u/>
      </rPr>
      <t>Poland,</t>
    </r>
    <r>
      <rPr/>
      <t xml:space="preserve"> </t>
    </r>
    <r>
      <rPr>
        <color rgb="FF1155CC"/>
        <u/>
      </rPr>
      <t>Jura Krakowsko - Częstochowska,</t>
    </r>
    <r>
      <rPr/>
      <t xml:space="preserve"> </t>
    </r>
    <r>
      <rPr>
        <color rgb="FF1155CC"/>
        <u/>
      </rPr>
      <t>Dolina Wiercicy</t>
    </r>
  </si>
  <si>
    <t>Za bald startowy powinna dostać oskara. Potem jest lekko ale końcówka może dojebać. Stan ze sznurka. I jeden stary spit</t>
  </si>
  <si>
    <r>
      <rPr>
        <color rgb="FF1155CC"/>
        <u/>
      </rPr>
      <t>Rysa farmaceutów</t>
    </r>
  </si>
  <si>
    <r>
      <rPr>
        <color rgb="FF1155CC"/>
        <u/>
      </rPr>
      <t>Poland,</t>
    </r>
    <r>
      <rPr>
        <color rgb="FF434343"/>
      </rPr>
      <t xml:space="preserve"> </t>
    </r>
    <r>
      <rPr>
        <color rgb="FF1155CC"/>
        <u/>
      </rPr>
      <t>Jura Krakowsko - Częstochowska,</t>
    </r>
    <r>
      <rPr>
        <color rgb="FF434343"/>
      </rPr>
      <t xml:space="preserve"> </t>
    </r>
    <r>
      <rPr>
        <color rgb="FF1155CC"/>
        <u/>
      </rPr>
      <t>Podlesice - Skała Apteka</t>
    </r>
  </si>
  <si>
    <t>Fajne. W Margalefie by mialo z 6c+ xD</t>
  </si>
  <si>
    <r>
      <rPr>
        <color rgb="FF1155CC"/>
        <u/>
      </rPr>
      <t>Baćmagówka</t>
    </r>
  </si>
  <si>
    <r>
      <rPr>
        <color rgb="FF1155CC"/>
        <u/>
      </rPr>
      <t>Poland,</t>
    </r>
    <r>
      <rPr/>
      <t xml:space="preserve"> </t>
    </r>
    <r>
      <rPr>
        <color rgb="FF1155CC"/>
        <u/>
      </rPr>
      <t>Kielce,</t>
    </r>
    <r>
      <rPr/>
      <t xml:space="preserve"> </t>
    </r>
    <r>
      <rPr>
        <color rgb="FF1155CC"/>
        <u/>
      </rPr>
      <t>Zelejowa</t>
    </r>
  </si>
  <si>
    <t>Fajne. Z rozwieszaniem. Po mojemu to 7a z lekkim soft</t>
  </si>
  <si>
    <r>
      <rPr>
        <color rgb="FF1155CC"/>
        <u/>
      </rPr>
      <t>Droga do uni</t>
    </r>
  </si>
  <si>
    <r>
      <rPr>
        <color rgb="FF1155CC"/>
        <u/>
      </rPr>
      <t>Poland,</t>
    </r>
    <r>
      <rPr/>
      <t xml:space="preserve"> </t>
    </r>
    <r>
      <rPr>
        <color rgb="FF1155CC"/>
        <u/>
      </rPr>
      <t>Kielce,</t>
    </r>
    <r>
      <rPr/>
      <t xml:space="preserve"> </t>
    </r>
    <r>
      <rPr>
        <color rgb="FF1155CC"/>
        <u/>
      </rPr>
      <t>Zelejowa</t>
    </r>
  </si>
  <si>
    <t>7a+ jak chuj i to nie z tych soft. Warun byl duszny a droga kręta. Zrobienie wpinki w górnej częsci cruxa to crux wewnątrz cruksa. Kamień który jest na dnie zagłębienia trochę się rusza</t>
  </si>
  <si>
    <r>
      <rPr>
        <color rgb="FF1155CC"/>
        <u/>
      </rPr>
      <t>Kute dziury</t>
    </r>
  </si>
  <si>
    <r>
      <rPr>
        <color rgb="FF1155CC"/>
        <u/>
      </rPr>
      <t>Poland,</t>
    </r>
    <r>
      <rPr/>
      <t xml:space="preserve"> </t>
    </r>
    <r>
      <rPr>
        <color rgb="FF1155CC"/>
        <u/>
      </rPr>
      <t>Kielce,</t>
    </r>
    <r>
      <rPr/>
      <t xml:space="preserve"> </t>
    </r>
    <r>
      <rPr>
        <color rgb="FF1155CC"/>
        <u/>
      </rPr>
      <t>Tumlin</t>
    </r>
  </si>
  <si>
    <t>piopn</t>
  </si>
  <si>
    <t>Lekko przewieszone po raczej solidnych dziurach. pewnie wysokim bedzie latwiej ale i tak wyczułem trudności raczej za 6.2+ Piachu w chwytach tyle że z każdego wyjeżdżałem. Dmuchawa wydaje sie być sensownym rozwiązaniem. Wariantem praworęcznym czyli więcej przechwytów przed 2gą wpiną</t>
  </si>
  <si>
    <r>
      <rPr>
        <color rgb="FF1155CC"/>
        <u/>
      </rPr>
      <t>Mogę więcej</t>
    </r>
  </si>
  <si>
    <r>
      <rPr>
        <color rgb="FF1155CC"/>
        <u/>
      </rPr>
      <t>Poland,</t>
    </r>
    <r>
      <rPr/>
      <t xml:space="preserve"> </t>
    </r>
    <r>
      <rPr>
        <color rgb="FF1155CC"/>
        <u/>
      </rPr>
      <t>Kielce,</t>
    </r>
    <r>
      <rPr/>
      <t xml:space="preserve"> </t>
    </r>
    <r>
      <rPr>
        <color rgb="FF1155CC"/>
        <u/>
      </rPr>
      <t>Tumlin</t>
    </r>
  </si>
  <si>
    <t>Trudniejsze od Przerysy. Trzeba schudnąć. Fajne dośc silowe i jednoczesnie techniczne w przewieszeniu. Szkoda ze tyle chwytów sie rusza już.</t>
  </si>
  <si>
    <r>
      <rPr>
        <color rgb="FF1155CC"/>
        <u/>
      </rPr>
      <t>Strachy na Lachy</t>
    </r>
  </si>
  <si>
    <r>
      <rPr>
        <color rgb="FF1155CC"/>
        <u/>
      </rPr>
      <t>Poland,</t>
    </r>
    <r>
      <rPr/>
      <t xml:space="preserve"> </t>
    </r>
    <r>
      <rPr>
        <color rgb="FF1155CC"/>
        <u/>
      </rPr>
      <t>Czarnorzeki</t>
    </r>
  </si>
  <si>
    <t xml:space="preserve">Klasyk na zakonczenie dnia. Gora jakos poszla ale rysa… to byl crux	
</t>
  </si>
  <si>
    <r>
      <rPr>
        <color rgb="FF1155CC"/>
        <u/>
      </rPr>
      <t>Camel Trophy</t>
    </r>
  </si>
  <si>
    <r>
      <rPr>
        <color rgb="FF1155CC"/>
        <u/>
      </rPr>
      <t>Poland,</t>
    </r>
    <r>
      <rPr/>
      <t xml:space="preserve"> </t>
    </r>
    <r>
      <rPr>
        <color rgb="FF1155CC"/>
        <u/>
      </rPr>
      <t>Czarnorzeki</t>
    </r>
  </si>
  <si>
    <r>
      <rPr>
        <color rgb="FF1155CC"/>
        <u/>
      </rPr>
      <t>Karabinierzy</t>
    </r>
  </si>
  <si>
    <r>
      <rPr>
        <color rgb="FF1155CC"/>
        <u/>
      </rPr>
      <t>Poland,</t>
    </r>
    <r>
      <rPr/>
      <t xml:space="preserve"> </t>
    </r>
    <r>
      <rPr>
        <color rgb="FF1155CC"/>
        <u/>
      </rPr>
      <t>Czarnorzeki</t>
    </r>
  </si>
  <si>
    <t>VI.2/+ Bardzo ładny początek. Wyborne. Potem trochę urok spada ale i tak 5 gwiazdek. Wersja z dwoma strzałami.</t>
  </si>
  <si>
    <r>
      <rPr>
        <color rgb="FF1155CC"/>
        <u/>
      </rPr>
      <t>All cats are black at night</t>
    </r>
  </si>
  <si>
    <r>
      <rPr>
        <color rgb="FF1155CC"/>
        <u/>
      </rPr>
      <t>Italy,</t>
    </r>
    <r>
      <rPr/>
      <t xml:space="preserve"> </t>
    </r>
    <r>
      <rPr>
        <color rgb="FF1155CC"/>
        <u/>
      </rPr>
      <t>San Vito lo Capo,</t>
    </r>
    <r>
      <rPr/>
      <t xml:space="preserve"> </t>
    </r>
    <r>
      <rPr>
        <color rgb="FF1155CC"/>
        <u/>
      </rPr>
      <t>Crown of Aragon</t>
    </r>
  </si>
  <si>
    <t>Double kneebar, nie bylo soft. Jak dla mnie to benchmarkowe 7b. Sześć gwiazdek. Ma jedno morpho ktore moze znacznie ulatwic bete. Zatem jest szansa ze to ma 7b+ dla normalnych a dla wysokich 7b.</t>
  </si>
  <si>
    <r>
      <rPr>
        <color rgb="FF1155CC"/>
        <u/>
      </rPr>
      <t>Troppo duci</t>
    </r>
  </si>
  <si>
    <r>
      <rPr>
        <color rgb="FF1155CC"/>
        <u/>
      </rPr>
      <t>Italy,</t>
    </r>
    <r>
      <rPr/>
      <t xml:space="preserve"> </t>
    </r>
    <r>
      <rPr>
        <color rgb="FF1155CC"/>
        <u/>
      </rPr>
      <t>San Vito lo Capo,</t>
    </r>
    <r>
      <rPr/>
      <t xml:space="preserve"> </t>
    </r>
    <r>
      <rPr>
        <color rgb="FF1155CC"/>
        <u/>
      </rPr>
      <t>Crown of Aragon</t>
    </r>
  </si>
  <si>
    <t>Very nice tufa climbing slightly overhanging</t>
  </si>
  <si>
    <r>
      <rPr>
        <color rgb="FF1155CC"/>
        <u/>
      </rPr>
      <t>Yoshimi battles the pink robots</t>
    </r>
  </si>
  <si>
    <r>
      <rPr>
        <color rgb="FF1155CC"/>
        <u/>
      </rPr>
      <t>Italy,</t>
    </r>
    <r>
      <rPr/>
      <t xml:space="preserve"> </t>
    </r>
    <r>
      <rPr>
        <color rgb="FF1155CC"/>
        <u/>
      </rPr>
      <t>San Vito lo Capo,</t>
    </r>
    <r>
      <rPr/>
      <t xml:space="preserve"> </t>
    </r>
    <r>
      <rPr>
        <color rgb="FF1155CC"/>
        <u/>
      </rPr>
      <t>Pineta</t>
    </r>
  </si>
  <si>
    <t>Recommended. FUCKING AWESOME. Very bouldery. Roof double bat hook feet lock during jug deadpoint. My style. Hard to OS.</t>
  </si>
  <si>
    <r>
      <rPr>
        <color rgb="FF1155CC"/>
        <u/>
      </rPr>
      <t>Falling down</t>
    </r>
  </si>
  <si>
    <r>
      <rPr>
        <color rgb="FF1155CC"/>
        <u/>
      </rPr>
      <t>Italy,</t>
    </r>
    <r>
      <rPr/>
      <t xml:space="preserve"> </t>
    </r>
    <r>
      <rPr>
        <color rgb="FF1155CC"/>
        <u/>
      </rPr>
      <t>San Vito lo Capo,</t>
    </r>
    <r>
      <rPr/>
      <t xml:space="preserve"> </t>
    </r>
    <r>
      <rPr>
        <color rgb="FF1155CC"/>
        <u/>
      </rPr>
      <t>Cinema Paradiso</t>
    </r>
  </si>
  <si>
    <t>Wet tufas mmmm yummy. Soft for the grade</t>
  </si>
  <si>
    <r>
      <rPr>
        <color rgb="FF1155CC"/>
        <u/>
      </rPr>
      <t>Obi one Kenobi</t>
    </r>
  </si>
  <si>
    <r>
      <rPr>
        <color rgb="FF1155CC"/>
        <u/>
      </rPr>
      <t>Italy,</t>
    </r>
    <r>
      <rPr/>
      <t xml:space="preserve"> </t>
    </r>
    <r>
      <rPr>
        <color rgb="FF1155CC"/>
        <u/>
      </rPr>
      <t>San Vito lo Capo,</t>
    </r>
    <r>
      <rPr/>
      <t xml:space="preserve"> </t>
    </r>
    <r>
      <rPr>
        <color rgb="FF1155CC"/>
        <u/>
      </rPr>
      <t>Castelluzzo Outdoor Wall</t>
    </r>
  </si>
  <si>
    <t>My 300th route. Two easy cruxes. There are no sophisticated difficulties. Pure medium endurance and joyfull moves. Mostly jugs randomly splited with two harder parts. Remember to go right before top to avoid another route Ketris 7b</t>
  </si>
  <si>
    <r>
      <rPr>
        <color rgb="FF1155CC"/>
        <u/>
      </rPr>
      <t>Knochenmanderl</t>
    </r>
  </si>
  <si>
    <r>
      <rPr>
        <color rgb="FF1155CC"/>
        <u/>
      </rPr>
      <t>Italy,</t>
    </r>
    <r>
      <rPr/>
      <t xml:space="preserve"> </t>
    </r>
    <r>
      <rPr>
        <color rgb="FF1155CC"/>
        <u/>
      </rPr>
      <t>San Vito lo Capo,</t>
    </r>
    <r>
      <rPr/>
      <t xml:space="preserve"> </t>
    </r>
    <r>
      <rPr>
        <color rgb="FF1155CC"/>
        <u/>
      </rPr>
      <t>Sinistra Pietraia</t>
    </r>
  </si>
  <si>
    <t>Second os today. Great route. Pod toprm poszedlem jakos w lewo ale stan ten sam a tam jakby byl crux wiec hgw</t>
  </si>
  <si>
    <r>
      <rPr>
        <color rgb="FF1155CC"/>
        <u/>
      </rPr>
      <t>Bariloche</t>
    </r>
  </si>
  <si>
    <r>
      <rPr>
        <color rgb="FF1155CC"/>
        <u/>
      </rPr>
      <t>Turkey,</t>
    </r>
    <r>
      <rPr/>
      <t xml:space="preserve"> </t>
    </r>
    <r>
      <rPr>
        <color rgb="FF1155CC"/>
        <u/>
      </rPr>
      <t>Geyikbayırı,</t>
    </r>
    <r>
      <rPr/>
      <t xml:space="preserve"> </t>
    </r>
    <r>
      <rPr>
        <color rgb="FF1155CC"/>
        <u/>
      </rPr>
      <t>Patagonia</t>
    </r>
  </si>
  <si>
    <t>The best on this sector. Steep tufa than steep jugs and diheadral</t>
  </si>
  <si>
    <t>Kaśka Baran</t>
  </si>
  <si>
    <r>
      <rPr>
        <color rgb="FF1155CC"/>
        <u/>
      </rPr>
      <t>El Chalten</t>
    </r>
  </si>
  <si>
    <t>os</t>
  </si>
  <si>
    <r>
      <rPr>
        <color rgb="FF1155CC"/>
        <u/>
      </rPr>
      <t>Turkey,</t>
    </r>
    <r>
      <rPr/>
      <t xml:space="preserve"> </t>
    </r>
    <r>
      <rPr>
        <color rgb="FF1155CC"/>
        <u/>
      </rPr>
      <t>Geyikbayırı,</t>
    </r>
    <r>
      <rPr/>
      <t xml:space="preserve"> </t>
    </r>
    <r>
      <rPr>
        <color rgb="FF1155CC"/>
        <u/>
      </rPr>
      <t>Patagonia</t>
    </r>
  </si>
  <si>
    <t>So fun. Very aesthetic</t>
  </si>
  <si>
    <r>
      <rPr>
        <color rgb="FF1155CC"/>
        <u/>
      </rPr>
      <t>Deli Dumrul</t>
    </r>
  </si>
  <si>
    <t>rp</t>
  </si>
  <si>
    <r>
      <rPr>
        <color rgb="FF1155CC"/>
        <u/>
      </rPr>
      <t>Turkey,</t>
    </r>
    <r>
      <rPr/>
      <t xml:space="preserve"> </t>
    </r>
    <r>
      <rPr>
        <color rgb="FF1155CC"/>
        <u/>
      </rPr>
      <t>Beycik</t>
    </r>
  </si>
  <si>
    <r>
      <rPr>
        <color rgb="FF1155CC"/>
        <u/>
      </rPr>
      <t>Harlem 2.p</t>
    </r>
  </si>
  <si>
    <r>
      <rPr>
        <color rgb="FF1155CC"/>
        <u/>
      </rPr>
      <t>Turkey,</t>
    </r>
    <r>
      <rPr/>
      <t xml:space="preserve"> </t>
    </r>
    <r>
      <rPr>
        <color rgb="FF1155CC"/>
        <u/>
      </rPr>
      <t>Geyikbayırı,</t>
    </r>
    <r>
      <rPr/>
      <t xml:space="preserve"> </t>
    </r>
    <r>
      <rPr>
        <color rgb="FF1155CC"/>
        <u/>
      </rPr>
      <t>Belen</t>
    </r>
  </si>
  <si>
    <t>Not bad</t>
  </si>
  <si>
    <r>
      <rPr>
        <color rgb="FF1155CC"/>
        <u/>
      </rPr>
      <t>Kaleidoscope 2.p</t>
    </r>
  </si>
  <si>
    <r>
      <rPr>
        <color rgb="FF1155CC"/>
        <u/>
      </rPr>
      <t>Turkey,</t>
    </r>
    <r>
      <rPr/>
      <t xml:space="preserve"> </t>
    </r>
    <r>
      <rPr>
        <color rgb="FF1155CC"/>
        <u/>
      </rPr>
      <t>Geyikbayırı,</t>
    </r>
    <r>
      <rPr/>
      <t xml:space="preserve"> </t>
    </r>
    <r>
      <rPr>
        <color rgb="FF1155CC"/>
        <u/>
      </rPr>
      <t>Belen</t>
    </r>
  </si>
  <si>
    <r>
      <rPr>
        <color rgb="FF1155CC"/>
        <u/>
      </rPr>
      <t>Dobby 2.p</t>
    </r>
  </si>
  <si>
    <r>
      <rPr>
        <color rgb="FF1155CC"/>
        <u/>
      </rPr>
      <t>Turkey,</t>
    </r>
    <r>
      <rPr/>
      <t xml:space="preserve"> </t>
    </r>
    <r>
      <rPr>
        <color rgb="FF1155CC"/>
        <u/>
      </rPr>
      <t>Geyikbayırı,</t>
    </r>
    <r>
      <rPr/>
      <t xml:space="preserve"> </t>
    </r>
    <r>
      <rPr>
        <color rgb="FF1155CC"/>
        <u/>
      </rPr>
      <t>Belen</t>
    </r>
  </si>
  <si>
    <t>Crimpy deadpoint. Harder than right one and more 7a than the right one. Perhaps those tiny footholds will crush very soon and it become even harder</t>
  </si>
  <si>
    <r>
      <rPr>
        <color rgb="FF1155CC"/>
        <u/>
      </rPr>
      <t>First Klaas</t>
    </r>
  </si>
  <si>
    <r>
      <rPr>
        <color rgb="FF1155CC"/>
        <u/>
      </rPr>
      <t>Turkey,</t>
    </r>
    <r>
      <rPr/>
      <t xml:space="preserve"> </t>
    </r>
    <r>
      <rPr>
        <color rgb="FF1155CC"/>
        <u/>
      </rPr>
      <t>Geyikbayırı,</t>
    </r>
    <r>
      <rPr/>
      <t xml:space="preserve"> </t>
    </r>
    <r>
      <rPr>
        <color rgb="FF1155CC"/>
        <u/>
      </rPr>
      <t>Yilan</t>
    </r>
  </si>
  <si>
    <t>The last section is hard no matter how many kneebars you have done. Before crux it is still a solid 7b. For me it was a long process. And having First Klaas as my first 7c couldn’t have been any better. Sixteen hangs in total (8 as a warmup) Five kneebars overall, lots of work on micro-optimisation, and a pumpy finish where I finally found a rest in the exact spot that had spat me off three times ☺️</t>
  </si>
  <si>
    <t>Georg</t>
  </si>
  <si>
    <r>
      <rPr>
        <color rgb="FF1155CC"/>
        <u/>
      </rPr>
      <t>Orion</t>
    </r>
  </si>
  <si>
    <r>
      <rPr>
        <color rgb="FF1155CC"/>
        <u/>
      </rPr>
      <t>Turkey,</t>
    </r>
    <r>
      <rPr/>
      <t xml:space="preserve"> </t>
    </r>
    <r>
      <rPr>
        <color rgb="FF1155CC"/>
        <u/>
      </rPr>
      <t>Geyikbayırı,</t>
    </r>
    <r>
      <rPr/>
      <t xml:space="preserve"> </t>
    </r>
    <r>
      <rPr>
        <color rgb="FF1155CC"/>
        <u/>
      </rPr>
      <t>Küllüin</t>
    </r>
  </si>
  <si>
    <t>Be aware of your left knee. We are both 40+ years old, and we both have injureed left knees on it :-)</t>
  </si>
  <si>
    <t>I</t>
  </si>
  <si>
    <t>II</t>
  </si>
  <si>
    <t>III</t>
  </si>
  <si>
    <t>IV</t>
  </si>
  <si>
    <t>5a</t>
  </si>
  <si>
    <t>5b</t>
  </si>
  <si>
    <t>5c</t>
  </si>
  <si>
    <t>5c+</t>
  </si>
  <si>
    <t>6a</t>
  </si>
  <si>
    <t>6a+</t>
  </si>
  <si>
    <t>6a+/b</t>
  </si>
  <si>
    <t>6b</t>
  </si>
  <si>
    <t>7c+</t>
  </si>
  <si>
    <t>8a</t>
  </si>
  <si>
    <t>8a+</t>
  </si>
  <si>
    <t>8a+/b</t>
  </si>
  <si>
    <t>8b</t>
  </si>
  <si>
    <t>8b+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</si>
</sst>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29">
    <font>
      <sz val="10.0"/>
      <color rgb="FF000000"/>
      <name val="Arial"/>
      <scheme val="minor"/>
    </font>
    <font>
      <b/>
      <color theme="1"/>
      <name val="Arial"/>
      <scheme val="minor"/>
    </font>
    <font>
      <sz val="10.0"/>
      <color theme="1"/>
      <name val="Arial"/>
      <scheme val="minor"/>
    </font>
    <font>
      <color theme="1"/>
      <name val="Arial"/>
      <scheme val="minor"/>
    </font>
    <font>
      <b/>
      <sz val="11.0"/>
      <color theme="1"/>
      <name val="Arial"/>
      <scheme val="minor"/>
    </font>
    <font>
      <color theme="1"/>
      <name val="Arial"/>
    </font>
    <font>
      <u/>
      <sz val="11.0"/>
      <color rgb="FF2A2A2F"/>
      <name val="&quot;IBM Plex Sans&quot;"/>
    </font>
    <font>
      <sz val="33.0"/>
      <color theme="1"/>
      <name val="Arial"/>
      <scheme val="minor"/>
    </font>
    <font>
      <sz val="9.0"/>
      <color rgb="FF000000"/>
      <name val="Calibri"/>
    </font>
    <font>
      <u/>
      <sz val="11.0"/>
      <color rgb="FF2A2A2F"/>
      <name val="&quot;IBM Plex Sans&quot;"/>
    </font>
    <font>
      <sz val="33.0"/>
      <color rgb="FF000000"/>
      <name val="Arial"/>
    </font>
    <font>
      <u/>
      <sz val="11.0"/>
      <color rgb="FF0000FF"/>
      <name val="&quot;IBM Plex Sans&quot;"/>
    </font>
    <font>
      <sz val="11.0"/>
      <color rgb="FF000000"/>
      <name val="Calibri"/>
    </font>
    <font>
      <sz val="10.0"/>
      <color rgb="FF000000"/>
      <name val="Calibri"/>
    </font>
    <font>
      <u/>
      <sz val="11.0"/>
      <color rgb="FF2A2A2F"/>
      <name val="&quot;IBM Plex Sans&quot;"/>
    </font>
    <font>
      <u/>
      <sz val="11.0"/>
      <color rgb="FF000000"/>
      <name val="&quot;IBM Plex Sans&quot;"/>
    </font>
    <font>
      <sz val="11.0"/>
      <color rgb="FF000000"/>
      <name val="&quot;IBM Plex Sans&quot;"/>
    </font>
    <font>
      <u/>
      <sz val="11.0"/>
      <color rgb="FF0000FF"/>
      <name val="&quot;IBM Plex Sans&quot;"/>
    </font>
    <font>
      <sz val="10.0"/>
      <color rgb="FF000000"/>
      <name val="&quot;IBM Plex Sans&quot;"/>
    </font>
    <font>
      <u/>
      <sz val="10.0"/>
      <color rgb="FF0000FF"/>
      <name val="&quot;IBM Plex Sans&quot;"/>
    </font>
    <font>
      <u/>
      <sz val="11.0"/>
      <color rgb="FF0000FF"/>
      <name val="&quot;IBM Plex Sans&quot;"/>
    </font>
    <font>
      <sz val="9.0"/>
      <color rgb="FF000000"/>
      <name val="&quot;IBM Plex Sans&quot;"/>
    </font>
    <font>
      <sz val="8.0"/>
      <color rgb="FF000000"/>
      <name val="&quot;IBM Plex Sans&quot;"/>
    </font>
    <font>
      <u/>
      <sz val="8.0"/>
      <color rgb="FF000000"/>
      <name val="&quot;IBM Plex Sans&quot;"/>
    </font>
    <font>
      <u/>
      <sz val="8.0"/>
      <color rgb="FF000000"/>
      <name val="&quot;IBM Plex Sans&quot;"/>
    </font>
    <font>
      <u/>
      <color rgb="FF0000FF"/>
      <name val="Roboto"/>
    </font>
    <font>
      <sz val="11.0"/>
      <color rgb="FF272726"/>
      <name val="&quot;IBM Plex Sans&quot;"/>
    </font>
    <font>
      <u/>
      <color rgb="FF0000FF"/>
      <name val="Roboto"/>
    </font>
    <font>
      <u/>
      <color rgb="FF0000FF"/>
      <name val="Roboto"/>
    </font>
  </fonts>
  <fills count="6">
    <fill>
      <patternFill patternType="none"/>
    </fill>
    <fill>
      <patternFill patternType="lightGray"/>
    </fill>
    <fill>
      <patternFill patternType="solid">
        <fgColor rgb="FFE2E624"/>
        <bgColor rgb="FFE2E624"/>
      </patternFill>
    </fill>
    <fill>
      <patternFill patternType="solid">
        <fgColor rgb="FFBCE624"/>
        <bgColor rgb="FFBCE624"/>
      </patternFill>
    </fill>
    <fill>
      <patternFill patternType="solid">
        <fgColor rgb="FFEA9999"/>
        <bgColor rgb="FFEA9999"/>
      </patternFill>
    </fill>
    <fill>
      <patternFill patternType="solid">
        <fgColor rgb="FFFFFFFF"/>
        <bgColor rgb="FFFFFFFF"/>
      </patternFill>
    </fill>
  </fills>
  <borders count="2">
    <border/>
    <border>
      <bottom style="thin">
        <color rgb="FFF2F2EF"/>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vertical="center"/>
    </xf>
    <xf borderId="0" fillId="0" fontId="3" numFmtId="0" xfId="0" applyAlignment="1" applyFont="1">
      <alignment readingOrder="0" shrinkToFit="0" vertical="center" wrapText="1"/>
    </xf>
    <xf borderId="0" fillId="2" fontId="4" numFmtId="0" xfId="0" applyAlignment="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0" fillId="0" fontId="3" numFmtId="164" xfId="0" applyAlignment="1" applyFont="1" applyNumberForma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shrinkToFit="0" vertical="center" wrapText="1"/>
    </xf>
    <xf borderId="0" fillId="0" fontId="3" numFmtId="0" xfId="0" applyAlignment="1" applyFont="1">
      <alignment shrinkToFit="0" wrapText="1"/>
    </xf>
    <xf borderId="0" fillId="4" fontId="3" numFmtId="0" xfId="0" applyAlignment="1" applyFill="1" applyFont="1">
      <alignment horizontal="center" readingOrder="0" shrinkToFit="0" vertical="center" wrapText="1"/>
    </xf>
    <xf borderId="0" fillId="0" fontId="3" numFmtId="165" xfId="0" applyAlignment="1" applyFont="1" applyNumberFormat="1">
      <alignment horizontal="center" readingOrder="0"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3" numFmtId="0" xfId="0" applyAlignment="1" applyFont="1">
      <alignment horizontal="center" vertical="center"/>
    </xf>
    <xf borderId="0" fillId="0" fontId="4" numFmtId="0" xfId="0" applyFont="1"/>
    <xf borderId="0" fillId="0" fontId="1"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right" readingOrder="0" shrinkToFit="0" vertical="center" wrapText="1"/>
    </xf>
    <xf borderId="0" fillId="5" fontId="6" numFmtId="0" xfId="0" applyAlignment="1" applyFill="1" applyFont="1">
      <alignment horizontal="left" readingOrder="0" shrinkToFit="0" vertical="center" wrapText="1"/>
    </xf>
    <xf borderId="0" fillId="0" fontId="3" numFmtId="165"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8" numFmtId="0" xfId="0" applyAlignment="1" applyFont="1">
      <alignment horizontal="left" readingOrder="0" shrinkToFit="0" vertical="center" wrapText="1"/>
    </xf>
    <xf borderId="0" fillId="0" fontId="3" numFmtId="0" xfId="0" applyAlignment="1" applyFont="1">
      <alignment shrinkToFit="0" vertical="center" wrapText="1"/>
    </xf>
    <xf borderId="0" fillId="5" fontId="9" numFmtId="0" xfId="0" applyAlignment="1" applyFont="1">
      <alignment readingOrder="0" shrinkToFit="0" vertical="center" wrapText="1"/>
    </xf>
    <xf borderId="0" fillId="0" fontId="10"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right" shrinkToFit="0" vertical="center" wrapText="1"/>
    </xf>
    <xf borderId="0" fillId="5" fontId="11" numFmtId="0" xfId="0" applyAlignment="1" applyFont="1">
      <alignment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5" fontId="8" numFmtId="0" xfId="0" applyAlignment="1" applyFont="1">
      <alignment horizontal="left" readingOrder="0" shrinkToFit="0" vertical="center" wrapText="1"/>
    </xf>
    <xf borderId="0" fillId="5" fontId="8" numFmtId="0" xfId="0" applyAlignment="1" applyFont="1">
      <alignment readingOrder="0" shrinkToFit="0" vertical="center" wrapText="1"/>
    </xf>
    <xf borderId="0" fillId="5" fontId="12" numFmtId="0" xfId="0" applyAlignment="1" applyFont="1">
      <alignment readingOrder="0" shrinkToFit="0" vertical="center" wrapText="1"/>
    </xf>
    <xf borderId="0" fillId="5" fontId="13" numFmtId="0" xfId="0" applyAlignment="1" applyFont="1">
      <alignment readingOrder="0" shrinkToFit="0" vertical="center" wrapText="1"/>
    </xf>
    <xf borderId="0" fillId="0" fontId="12" numFmtId="0" xfId="0" applyAlignment="1" applyFont="1">
      <alignment horizontal="left" readingOrder="0" shrinkToFit="0" vertical="center" wrapText="1"/>
    </xf>
    <xf borderId="0" fillId="5" fontId="14" numFmtId="0" xfId="0" applyAlignment="1" applyFont="1">
      <alignment readingOrder="0" shrinkToFit="0" vertical="center" wrapText="1"/>
    </xf>
    <xf borderId="0" fillId="5" fontId="15" numFmtId="0" xfId="0" applyAlignment="1" applyFont="1">
      <alignment readingOrder="0" shrinkToFit="0" vertical="center" wrapText="1"/>
    </xf>
    <xf borderId="0" fillId="5" fontId="16" numFmtId="0" xfId="0" applyAlignment="1" applyFont="1">
      <alignment readingOrder="0" shrinkToFit="0" vertical="center" wrapText="1"/>
    </xf>
    <xf borderId="0" fillId="5" fontId="17" numFmtId="0" xfId="0" applyAlignment="1" applyFont="1">
      <alignment readingOrder="0" shrinkToFit="0" vertical="center" wrapText="1"/>
    </xf>
    <xf borderId="0" fillId="5" fontId="18" numFmtId="0" xfId="0" applyAlignment="1" applyFont="1">
      <alignment horizontal="center" readingOrder="0" shrinkToFit="0" vertical="center" wrapText="1"/>
    </xf>
    <xf borderId="0" fillId="5" fontId="19" numFmtId="0" xfId="0" applyAlignment="1" applyFont="1">
      <alignment horizontal="center" readingOrder="0" shrinkToFit="0" vertical="center" wrapText="1"/>
    </xf>
    <xf borderId="0" fillId="5" fontId="20" numFmtId="0" xfId="0" applyAlignment="1" applyFont="1">
      <alignment horizontal="left" readingOrder="0" shrinkToFit="0" vertical="center" wrapText="1"/>
    </xf>
    <xf borderId="0" fillId="5" fontId="21" numFmtId="0" xfId="0" applyAlignment="1" applyFont="1">
      <alignment readingOrder="0" shrinkToFit="0" vertical="center" wrapText="1"/>
    </xf>
    <xf borderId="0" fillId="5" fontId="22" numFmtId="0" xfId="0" applyAlignment="1" applyFont="1">
      <alignment horizontal="center" readingOrder="0" shrinkToFit="0" vertical="center" wrapText="1"/>
    </xf>
    <xf borderId="0" fillId="5" fontId="23" numFmtId="0" xfId="0" applyAlignment="1" applyFont="1">
      <alignment horizontal="center" readingOrder="0" shrinkToFit="0" vertical="center" wrapText="1"/>
    </xf>
    <xf borderId="0" fillId="5" fontId="24" numFmtId="0" xfId="0" applyAlignment="1" applyFont="1">
      <alignment readingOrder="0" shrinkToFit="0" vertical="center" wrapText="1"/>
    </xf>
    <xf borderId="0" fillId="0" fontId="25" numFmtId="0" xfId="0" applyAlignment="1" applyFont="1">
      <alignment readingOrder="0" shrinkToFit="0" vertical="center" wrapText="1"/>
    </xf>
    <xf borderId="0" fillId="5" fontId="2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shrinkToFit="0" vertical="center" wrapText="1"/>
    </xf>
    <xf borderId="0" fillId="5" fontId="26" numFmtId="0" xfId="0" applyAlignment="1" applyFont="1">
      <alignment readingOrder="0" shrinkToFit="0" vertical="center" wrapText="1"/>
    </xf>
    <xf borderId="0" fillId="0" fontId="27" numFmtId="0" xfId="0" applyAlignment="1" applyFont="1">
      <alignment readingOrder="0" shrinkToFit="0" vertical="center" wrapText="1"/>
    </xf>
    <xf borderId="0" fillId="0" fontId="28" numFmtId="0" xfId="0" applyAlignment="1" applyFont="1">
      <alignment readingOrder="0" shrinkToFit="0" vertical="center" wrapText="0"/>
    </xf>
    <xf borderId="0" fillId="5" fontId="26" numFmtId="0" xfId="0" applyAlignment="1" applyFont="1">
      <alignment readingOrder="0" shrinkToFit="0" vertical="center" wrapText="0"/>
    </xf>
    <xf borderId="0" fillId="0" fontId="3" numFmtId="0" xfId="0" applyAlignment="1" applyFont="1">
      <alignment horizontal="left" readingOrder="0" shrinkToFit="0" vertical="center" wrapText="1"/>
    </xf>
    <xf borderId="1" fillId="5" fontId="26" numFmtId="0" xfId="0" applyAlignment="1" applyBorder="1" applyFont="1">
      <alignment horizontal="left" readingOrder="0" shrinkToFit="0" vertical="center" wrapText="0"/>
    </xf>
    <xf borderId="0" fillId="0" fontId="4" numFmtId="0" xfId="0" applyAlignment="1" applyFont="1">
      <alignment shrinkToFit="0" wrapText="1"/>
    </xf>
    <xf borderId="0" fillId="0" fontId="3" numFmtId="0" xfId="0" applyAlignment="1" applyFont="1">
      <alignment readingOrder="0"/>
    </xf>
  </cellXfs>
  <cellStyles count="1">
    <cellStyle xfId="0" name="Normal" builtinId="0"/>
  </cellStyles>
  <dxfs count="29">
    <dxf>
      <font/>
      <fill>
        <patternFill patternType="solid">
          <fgColor rgb="FFE6DE24"/>
          <bgColor rgb="FFE6DE24"/>
        </patternFill>
      </fill>
      <border/>
    </dxf>
    <dxf>
      <font/>
      <fill>
        <patternFill patternType="solid">
          <fgColor rgb="FFDEF479"/>
          <bgColor rgb="FFDEF479"/>
        </patternFill>
      </fill>
      <border/>
    </dxf>
    <dxf>
      <font/>
      <fill>
        <patternFill patternType="solid">
          <fgColor rgb="FFFFC500"/>
          <bgColor rgb="FFFFC500"/>
        </patternFill>
      </fill>
      <border/>
    </dxf>
    <dxf>
      <font/>
      <fill>
        <patternFill patternType="solid">
          <fgColor rgb="FFFFD966"/>
          <bgColor rgb="FFFFD966"/>
        </patternFill>
      </fill>
      <border/>
    </dxf>
    <dxf>
      <font/>
      <fill>
        <patternFill patternType="solid">
          <fgColor rgb="FFFF5E58"/>
          <bgColor rgb="FFFF5E58"/>
        </patternFill>
      </fill>
      <border/>
    </dxf>
    <dxf>
      <font/>
      <fill>
        <patternFill patternType="solid">
          <fgColor rgb="FFC358A8"/>
          <bgColor rgb="FFC358A8"/>
        </patternFill>
      </fill>
      <border/>
    </dxf>
    <dxf>
      <font/>
      <fill>
        <patternFill patternType="solid">
          <fgColor rgb="FFD9EAD3"/>
          <bgColor rgb="FFD9EAD3"/>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F3F3F3"/>
          <bgColor rgb="FFF3F3F3"/>
        </patternFill>
      </fill>
      <border/>
    </dxf>
    <dxf>
      <font/>
      <fill>
        <patternFill patternType="solid">
          <fgColor rgb="FFE7F1E3"/>
          <bgColor rgb="FFE7F1E3"/>
        </patternFill>
      </fill>
      <border/>
    </dxf>
    <dxf>
      <font/>
      <fill>
        <patternFill patternType="solid">
          <fgColor rgb="FFB6D7A8"/>
          <bgColor rgb="FFB6D7A8"/>
        </patternFill>
      </fill>
      <border/>
    </dxf>
    <dxf>
      <font/>
      <fill>
        <patternFill patternType="solid">
          <fgColor rgb="FFDC0C73"/>
          <bgColor rgb="FFDC0C73"/>
        </patternFill>
      </fill>
      <border/>
    </dxf>
    <dxf>
      <font>
        <color rgb="FFFFFFFF"/>
      </font>
      <fill>
        <patternFill patternType="solid">
          <fgColor rgb="FFA1002F"/>
          <bgColor rgb="FFA1002F"/>
        </patternFill>
      </fill>
      <border/>
    </dxf>
    <dxf>
      <font/>
      <fill>
        <patternFill patternType="solid">
          <fgColor rgb="FF29F7F4"/>
          <bgColor rgb="FF29F7F4"/>
        </patternFill>
      </fill>
      <border/>
    </dxf>
    <dxf>
      <font>
        <color rgb="FFFFFFFF"/>
      </font>
      <fill>
        <patternFill patternType="solid">
          <fgColor rgb="FF4A86E8"/>
          <bgColor rgb="FF4A86E8"/>
        </patternFill>
      </fill>
      <border/>
    </dxf>
    <dxf>
      <font/>
      <fill>
        <patternFill patternType="solid">
          <fgColor theme="9"/>
          <bgColor theme="9"/>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theme="6"/>
          <bgColor theme="6"/>
        </patternFill>
      </fill>
      <border/>
    </dxf>
    <dxf>
      <font/>
      <fill>
        <patternFill patternType="solid">
          <fgColor rgb="FFA64D79"/>
          <bgColor rgb="FFA64D79"/>
        </patternFill>
      </fill>
      <border/>
    </dxf>
    <dxf>
      <font/>
      <fill>
        <patternFill patternType="solid">
          <fgColor theme="7"/>
          <bgColor theme="7"/>
        </patternFill>
      </fill>
      <border/>
    </dxf>
    <dxf>
      <font/>
      <fill>
        <patternFill patternType="solid">
          <fgColor rgb="FF783F04"/>
          <bgColor rgb="FF783F04"/>
        </patternFill>
      </fill>
      <border/>
    </dxf>
    <dxf>
      <font/>
      <fill>
        <patternFill patternType="solid">
          <fgColor rgb="FFFFF2CC"/>
          <bgColor rgb="FFFFF2CC"/>
        </patternFill>
      </fill>
      <border/>
    </dxf>
    <dxf>
      <font>
        <color rgb="FFFFFFFF"/>
      </font>
      <fill>
        <patternFill patternType="solid">
          <fgColor rgb="FF356854"/>
          <bgColor rgb="FF356854"/>
        </patternFill>
      </fill>
      <border/>
    </dxf>
    <dxf>
      <font>
        <color rgb="FF434343"/>
      </font>
      <fill>
        <patternFill patternType="solid">
          <fgColor rgb="FF29F7F4"/>
          <bgColor rgb="FF29F7F4"/>
        </patternFill>
      </fill>
      <border/>
    </dxf>
  </dxfs>
  <tableStyles count="1">
    <tableStyle count="4" pivot="0" name="SKAŁA-style">
      <tableStyleElement dxfId="18" type="headerRow"/>
      <tableStyleElement dxfId="19" type="firstRowStripe"/>
      <tableStyleElement dxfId="20" type="secondRowStripe"/>
      <tableStyleElement dxfId="21"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16" displayName="Tabela1" name="Tabela1" id="1">
  <tableColumns count="12">
    <tableColumn name="NAZWA DROGI" id="1"/>
    <tableColumn name="STYL" id="2"/>
    <tableColumn name="WYCENA" id="3"/>
    <tableColumn name="SUBIEK" id="4"/>
    <tableColumn name="PRÓB" id="5"/>
    <tableColumn name="DATA" id="6"/>
    <tableColumn name="PIĘKNO WSPINANIA" id="7"/>
    <tableColumn name="Miejsce" id="8"/>
    <tableColumn name="FORMACJA" id="9"/>
    <tableColumn name="KOMENTARZ" id="10"/>
    <tableColumn name="ASEKURACJA" id="11"/>
    <tableColumn name="@" id="12"/>
  </tableColumns>
  <tableStyleInfo name="SKAŁ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8a.nu/crags/sportclimbing/greece/sabaton/sectors/unknown-sector-2782a/routes/io/" TargetMode="External"/><Relationship Id="rId42" Type="http://schemas.openxmlformats.org/officeDocument/2006/relationships/hyperlink" Target="https://www.8a.nu/crags/sportclimbing/greece/mars/sectors/mars/routes/yoko-m-ono-2a065/" TargetMode="External"/><Relationship Id="rId41" Type="http://schemas.openxmlformats.org/officeDocument/2006/relationships/hyperlink" Target="https://www.8a.nu/crags/sportclimbing/greece/berliner-mauer/sectors/berliner-mauer/routes/gorilla/" TargetMode="External"/><Relationship Id="rId44" Type="http://schemas.openxmlformats.org/officeDocument/2006/relationships/hyperlink" Target="https://www.8a.nu/crags/sportclimbing/greece/mars/sectors/mars/routes/chuck-notis-f4c6b/" TargetMode="External"/><Relationship Id="rId43" Type="http://schemas.openxmlformats.org/officeDocument/2006/relationships/hyperlink" Target="https://www.8a.nu/crags/sportclimbing/greece/sabaton/sectors/sabaton-middle/routes/makari-b8ca4/" TargetMode="External"/><Relationship Id="rId46" Type="http://schemas.openxmlformats.org/officeDocument/2006/relationships/hyperlink" Target="https://www.8a.nu/crags/sportclimbing/greece/sabaton/sectors/sabaton-lower/routes/attero-dominatus/" TargetMode="External"/><Relationship Id="rId45" Type="http://schemas.openxmlformats.org/officeDocument/2006/relationships/hyperlink" Target="https://www.8a.nu/crags/sportclimbing/greece/sabaton/sectors/sabaton-middle/routes/giakoumis/" TargetMode="External"/><Relationship Id="rId107" Type="http://schemas.openxmlformats.org/officeDocument/2006/relationships/hyperlink" Target="https://www.8a.nu/areas?country=poland" TargetMode="External"/><Relationship Id="rId106" Type="http://schemas.openxmlformats.org/officeDocument/2006/relationships/hyperlink" Target="https://www.8a.nu/crags/sportclimbing/poland/zelejowa/sectors/wielka-przewiecha/routes/bacmagowka" TargetMode="External"/><Relationship Id="rId105" Type="http://schemas.openxmlformats.org/officeDocument/2006/relationships/hyperlink" Target="https://www.8a.nu/areas?country=poland" TargetMode="External"/><Relationship Id="rId104" Type="http://schemas.openxmlformats.org/officeDocument/2006/relationships/hyperlink" Target="https://www.8a.nu/crags/sportclimbing/poland/podlesice-skala-apteka/sectors/apteka-polac-klasyczna/routes/rysa-farmaceutow" TargetMode="External"/><Relationship Id="rId109" Type="http://schemas.openxmlformats.org/officeDocument/2006/relationships/hyperlink" Target="https://www.8a.nu/areas?country=poland" TargetMode="External"/><Relationship Id="rId108" Type="http://schemas.openxmlformats.org/officeDocument/2006/relationships/hyperlink" Target="https://www.8a.nu/crags/sportclimbing/poland/zelejowa/sectors/wielka-przewiecha/routes/droga-do-unii" TargetMode="External"/><Relationship Id="rId48" Type="http://schemas.openxmlformats.org/officeDocument/2006/relationships/hyperlink" Target="https://www.8a.nu/crags/sportclimbing/greece/vlychada/sectors/vlychada/routes/myrtoan/" TargetMode="External"/><Relationship Id="rId47" Type="http://schemas.openxmlformats.org/officeDocument/2006/relationships/hyperlink" Target="https://www.8a.nu/crags/sportclimbing/greece/h-a-d-a/sectors/hada/routes/sokolatina/" TargetMode="External"/><Relationship Id="rId49" Type="http://schemas.openxmlformats.org/officeDocument/2006/relationships/hyperlink" Target="https://www.8a.nu/crags/sportclimbing/greece/h-a-d-a/sectors/hada/routes/brownie/" TargetMode="External"/><Relationship Id="rId103" Type="http://schemas.openxmlformats.org/officeDocument/2006/relationships/hyperlink" Target="https://www.8a.nu/areas?country=poland" TargetMode="External"/><Relationship Id="rId102" Type="http://schemas.openxmlformats.org/officeDocument/2006/relationships/hyperlink" Target="https://www.8a.nu/crags/sportclimbing/poland/dolina-wiercicy/sectors/bialy-pies/routes/mafik-87fbc" TargetMode="External"/><Relationship Id="rId101" Type="http://schemas.openxmlformats.org/officeDocument/2006/relationships/hyperlink" Target="https://www.8a.nu/crags/sportclimbing/poland/sokole-gory/sectors/boniek/routes/maszyna-prosta-49002/" TargetMode="External"/><Relationship Id="rId100" Type="http://schemas.openxmlformats.org/officeDocument/2006/relationships/hyperlink" Target="https://www.8a.nu/crags/sportclimbing/spain/can-gueli/sectors/unknown-sector-2e18b/routes/machoman/" TargetMode="External"/><Relationship Id="rId31" Type="http://schemas.openxmlformats.org/officeDocument/2006/relationships/hyperlink" Target="https://www.8a.nu/crags/sportclimbing/poland/sokole-gory/sectors/boniek/routes/frankoreki-323e7/" TargetMode="External"/><Relationship Id="rId30" Type="http://schemas.openxmlformats.org/officeDocument/2006/relationships/hyperlink" Target="https://www.8a.nu/crags/sportclimbing/poland/lutowiec/sectors/ule/routes/prostowanie-roju/" TargetMode="External"/><Relationship Id="rId33" Type="http://schemas.openxmlformats.org/officeDocument/2006/relationships/hyperlink" Target="https://www.8a.nu/crags/sportclimbing/poland/dolina-czubrowicka/sectors/skotnicowa-skaa/routes/kawa-bez-czosnku/" TargetMode="External"/><Relationship Id="rId32" Type="http://schemas.openxmlformats.org/officeDocument/2006/relationships/hyperlink" Target="https://www.8a.nu/crags/sportclimbing/poland/lutowiec/sectors/knur/routes/biale-noce/" TargetMode="External"/><Relationship Id="rId35" Type="http://schemas.openxmlformats.org/officeDocument/2006/relationships/hyperlink" Target="https://www.8a.nu/crags/sportclimbing/poland/lutowiec/sectors/warchlak/routes/cienki-bolek/" TargetMode="External"/><Relationship Id="rId34" Type="http://schemas.openxmlformats.org/officeDocument/2006/relationships/hyperlink" Target="https://www.8a.nu/crags/sportclimbing/poland/sokole-gory/sectors/boniek/routes/frankoreki-323e7/" TargetMode="External"/><Relationship Id="rId37" Type="http://schemas.openxmlformats.org/officeDocument/2006/relationships/hyperlink" Target="https://www.8a.nu/crags/sportclimbing/poland/lutowiec/sectors/zamkowa/routes/mitomaniak/" TargetMode="External"/><Relationship Id="rId36" Type="http://schemas.openxmlformats.org/officeDocument/2006/relationships/hyperlink" Target="https://www.8a.nu/crags/sportclimbing/poland/lutowiec/sectors/zamkowa/routes/stop-zwolnieniom-z-wf/" TargetMode="External"/><Relationship Id="rId39" Type="http://schemas.openxmlformats.org/officeDocument/2006/relationships/hyperlink" Target="https://www.8a.nu/crags/sportclimbing/greece/mars/sectors/mars/routes/jumanji-8431f/" TargetMode="External"/><Relationship Id="rId38" Type="http://schemas.openxmlformats.org/officeDocument/2006/relationships/hyperlink" Target="https://www.8a.nu/crags/sportclimbing/greece/kalydna/sectors/right/routes/fiction/" TargetMode="External"/><Relationship Id="rId20" Type="http://schemas.openxmlformats.org/officeDocument/2006/relationships/hyperlink" Target="https://www.8a.nu/crags/sportclimbing/poland/mirow/sectors/trzy-siostry/routes/kraina-wytrwalych/" TargetMode="External"/><Relationship Id="rId22" Type="http://schemas.openxmlformats.org/officeDocument/2006/relationships/hyperlink" Target="https://www.8a.nu/crags/sportclimbing/poland/sokole-gory/sectors/boniek/routes/wsciekle-palce-f11a3/" TargetMode="External"/><Relationship Id="rId21" Type="http://schemas.openxmlformats.org/officeDocument/2006/relationships/hyperlink" Target="https://www.8a.nu/crags/sportclimbing/poland/mirow-nad-warta/sectors/mirow-nad-warta/routes/linia-zycia/" TargetMode="External"/><Relationship Id="rId24" Type="http://schemas.openxmlformats.org/officeDocument/2006/relationships/hyperlink" Target="https://www.8a.nu/crags/sportclimbing/poland/suliszowice/sectors/panda/routes/szach-i-mat/" TargetMode="External"/><Relationship Id="rId23" Type="http://schemas.openxmlformats.org/officeDocument/2006/relationships/hyperlink" Target="https://www.8a.nu/crags/sportclimbing/poland/dolina-wiercicy/sectors/ostreznik-ddc53/routes/flaczki-z-mnicha/" TargetMode="External"/><Relationship Id="rId129" Type="http://schemas.openxmlformats.org/officeDocument/2006/relationships/hyperlink" Target="https://www.8a.nu/areas?country=italy" TargetMode="External"/><Relationship Id="rId128" Type="http://schemas.openxmlformats.org/officeDocument/2006/relationships/hyperlink" Target="https://www.8a.nu/crags/sportclimbing/italy/castelluzzo-outdoor-wall/sectors/castelluzzo-outdoor-wall/routes/obi-one-kinobi" TargetMode="External"/><Relationship Id="rId127" Type="http://schemas.openxmlformats.org/officeDocument/2006/relationships/hyperlink" Target="https://www.8a.nu/areas?country=italy" TargetMode="External"/><Relationship Id="rId126" Type="http://schemas.openxmlformats.org/officeDocument/2006/relationships/hyperlink" Target="https://www.8a.nu/crags/sportclimbing/italy/cinema-paradiso/sectors/sektor-b-right/routes/falling-down" TargetMode="External"/><Relationship Id="rId26" Type="http://schemas.openxmlformats.org/officeDocument/2006/relationships/hyperlink" Target="https://www.8a.nu/crags/sportclimbing/poland/sokole-gory/sectors/boniek/routes/kroniki-terminatora-d34ad/" TargetMode="External"/><Relationship Id="rId121" Type="http://schemas.openxmlformats.org/officeDocument/2006/relationships/hyperlink" Target="https://www.8a.nu/areas?country=italy" TargetMode="External"/><Relationship Id="rId25" Type="http://schemas.openxmlformats.org/officeDocument/2006/relationships/hyperlink" Target="https://www.8a.nu/crags/sportclimbing/poland/sokole-gory/sectors/boniek/routes/wejscie-smoka-e7bdf/" TargetMode="External"/><Relationship Id="rId120" Type="http://schemas.openxmlformats.org/officeDocument/2006/relationships/hyperlink" Target="https://www.8a.nu/crags/sportclimbing/italy/crown-of-aragon/sectors/crown-of-aragon-3l0ng/routes/all-cats-are-black-at-night" TargetMode="External"/><Relationship Id="rId28" Type="http://schemas.openxmlformats.org/officeDocument/2006/relationships/hyperlink" Target="https://www.8a.nu/crags/sportclimbing/poland/lutowiec/sectors/ule/routes/szwajcar/" TargetMode="External"/><Relationship Id="rId27" Type="http://schemas.openxmlformats.org/officeDocument/2006/relationships/hyperlink" Target="https://www.8a.nu/crags/sportclimbing/poland/lutowiec/sectors/ule/routes/roj/" TargetMode="External"/><Relationship Id="rId125" Type="http://schemas.openxmlformats.org/officeDocument/2006/relationships/hyperlink" Target="https://www.8a.nu/areas?country=italy" TargetMode="External"/><Relationship Id="rId29" Type="http://schemas.openxmlformats.org/officeDocument/2006/relationships/hyperlink" Target="https://www.8a.nu/crags/sportclimbing/poland/lutowiec/sectors/knur/routes/czlowiek-ktory-sie-chujom-nie-klanial/" TargetMode="External"/><Relationship Id="rId124" Type="http://schemas.openxmlformats.org/officeDocument/2006/relationships/hyperlink" Target="https://www.8a.nu/crags/sportclimbing/italy/pineta/sectors/sector-d-grotta/routes/yoshimi-battles-the-pink-robots-9fb96" TargetMode="External"/><Relationship Id="rId123" Type="http://schemas.openxmlformats.org/officeDocument/2006/relationships/hyperlink" Target="https://www.8a.nu/areas?country=italy" TargetMode="External"/><Relationship Id="rId122" Type="http://schemas.openxmlformats.org/officeDocument/2006/relationships/hyperlink" Target="https://www.8a.nu/crags/sportclimbing/italy/crown-of-aragon/sectors/crown-of-aragon-3l0ng/routes/troppo-duci" TargetMode="External"/><Relationship Id="rId95" Type="http://schemas.openxmlformats.org/officeDocument/2006/relationships/hyperlink" Target="https://www.8a.nu/crags/sportclimbing/spain/raco-de-les-espadelles/sectors/raco-de-les-espadelles/routes/abanibi-cacee/" TargetMode="External"/><Relationship Id="rId94" Type="http://schemas.openxmlformats.org/officeDocument/2006/relationships/hyperlink" Target="https://www.8a.nu/crags/sportclimbing/spain/ca-l-arna/sectors/unknown-sector-467af/routes/lluna-de-mel/" TargetMode="External"/><Relationship Id="rId97" Type="http://schemas.openxmlformats.org/officeDocument/2006/relationships/hyperlink" Target="https://www.8a.nu/crags/sportclimbing/spain/can-dit-xic/sectors/can-dit-xic/routes/bambola/" TargetMode="External"/><Relationship Id="rId96" Type="http://schemas.openxmlformats.org/officeDocument/2006/relationships/hyperlink" Target="https://www.8a.nu/crags/sportclimbing/spain/raco-de-les-espadelles/sectors/raco-de-les-espadelles/routes/setareh/" TargetMode="External"/><Relationship Id="rId11" Type="http://schemas.openxmlformats.org/officeDocument/2006/relationships/hyperlink" Target="https://www.8a.nu/crags/sportclimbing/italy/camping/sectors/unknown-sector-559f2/routes/white-rabbit/" TargetMode="External"/><Relationship Id="rId99" Type="http://schemas.openxmlformats.org/officeDocument/2006/relationships/hyperlink" Target="https://www.8a.nu/crags/sportclimbing/spain/can-gueli/sectors/unknown-sector-2e18b/routes/drogados-y-construcciones/" TargetMode="External"/><Relationship Id="rId10" Type="http://schemas.openxmlformats.org/officeDocument/2006/relationships/hyperlink" Target="https://www.8a.nu/crags/sportclimbing/turkey/geyik-bayiri/sectors/ruezgarli-bahce/routes/otolastik/" TargetMode="External"/><Relationship Id="rId98" Type="http://schemas.openxmlformats.org/officeDocument/2006/relationships/hyperlink" Target="https://www.8a.nu/crags/sportclimbing/spain/el-cargol/sectors/unknown-sector-ff0b1/routes/jeketepeke/" TargetMode="External"/><Relationship Id="rId13" Type="http://schemas.openxmlformats.org/officeDocument/2006/relationships/hyperlink" Target="https://www.8a.nu/crags/sportclimbing/italy/crown-of-aragon/sectors/unknown-sector-36e63/routes/tricheco/" TargetMode="External"/><Relationship Id="rId12" Type="http://schemas.openxmlformats.org/officeDocument/2006/relationships/hyperlink" Target="https://www.8a.nu/crags/sportclimbing/italy/cala-mancina/sectors/unknown-sector-d98b0/routes/alfa-romeo/" TargetMode="External"/><Relationship Id="rId91" Type="http://schemas.openxmlformats.org/officeDocument/2006/relationships/hyperlink" Target="https://www.8a.nu/crags/sportclimbing/turkey/left-cave/sectors/left-cave/routes/black-moon/" TargetMode="External"/><Relationship Id="rId90" Type="http://schemas.openxmlformats.org/officeDocument/2006/relationships/hyperlink" Target="https://www.8a.nu/crags/sportclimbing/turkey/turkish-standard/sectors/turkish-standard/routes/mission-to-mars-0764a/" TargetMode="External"/><Relationship Id="rId93" Type="http://schemas.openxmlformats.org/officeDocument/2006/relationships/hyperlink" Target="https://www.8a.nu/crags/sportclimbing/turkey/beycik/sectors/orta/routes/black-meycik/" TargetMode="External"/><Relationship Id="rId92" Type="http://schemas.openxmlformats.org/officeDocument/2006/relationships/hyperlink" Target="https://www.8a.nu/crags/sportclimbing/turkey/poseidon/sectors/poseidon/routes/poseidon-9e507/" TargetMode="External"/><Relationship Id="rId118" Type="http://schemas.openxmlformats.org/officeDocument/2006/relationships/hyperlink" Target="https://www.8a.nu/crags/sportclimbing/poland/czarnorzeki/sectors/aligator/routes/karabinierzy" TargetMode="External"/><Relationship Id="rId117" Type="http://schemas.openxmlformats.org/officeDocument/2006/relationships/hyperlink" Target="https://www.8a.nu/areas?country=poland" TargetMode="External"/><Relationship Id="rId116" Type="http://schemas.openxmlformats.org/officeDocument/2006/relationships/hyperlink" Target="https://www.8a.nu/crags/sportclimbing/poland/czarnorzeki/sectors/wielblad/routes/camel-trophy-39787" TargetMode="External"/><Relationship Id="rId115" Type="http://schemas.openxmlformats.org/officeDocument/2006/relationships/hyperlink" Target="https://www.8a.nu/areas?country=poland" TargetMode="External"/><Relationship Id="rId119" Type="http://schemas.openxmlformats.org/officeDocument/2006/relationships/hyperlink" Target="https://www.8a.nu/areas?country=poland" TargetMode="External"/><Relationship Id="rId15" Type="http://schemas.openxmlformats.org/officeDocument/2006/relationships/hyperlink" Target="https://www.8a.nu/crags/sportclimbing/italy/crown-of-aragon/sectors/unknown-sector-36e63/routes/training-segreto/" TargetMode="External"/><Relationship Id="rId110" Type="http://schemas.openxmlformats.org/officeDocument/2006/relationships/hyperlink" Target="https://www.8a.nu/crags/sportclimbing/poland/tumlin/sectors/tumlin/routes/kute-dziury" TargetMode="External"/><Relationship Id="rId14" Type="http://schemas.openxmlformats.org/officeDocument/2006/relationships/hyperlink" Target="https://www.8a.nu/crags/sportclimbing/turkey/geyik-bayiri/sectors/yilan/routes/hortum/" TargetMode="External"/><Relationship Id="rId17" Type="http://schemas.openxmlformats.org/officeDocument/2006/relationships/hyperlink" Target="https://www.8a.nu/crags/sportclimbing/turkey/geyik-bayiri/sectors/ruzgarli-bahce/routes/karinca-adasi/" TargetMode="External"/><Relationship Id="rId16" Type="http://schemas.openxmlformats.org/officeDocument/2006/relationships/hyperlink" Target="https://www.8a.nu/crags/sportclimbing/italy/cala-mancina/sectors/unknown-sector-d98b0/routes/the-riddle/" TargetMode="External"/><Relationship Id="rId19" Type="http://schemas.openxmlformats.org/officeDocument/2006/relationships/hyperlink" Target="https://www.8a.nu/crags/sportclimbing/turkey/olympos/sectors/cennet-d2e02/routes/cennet-cehennem/" TargetMode="External"/><Relationship Id="rId114" Type="http://schemas.openxmlformats.org/officeDocument/2006/relationships/hyperlink" Target="https://www.8a.nu/crags/sportclimbing/poland/czarnorzeki/sectors/krowia-turnia-35766/routes/strachy-na-lachy" TargetMode="External"/><Relationship Id="rId18" Type="http://schemas.openxmlformats.org/officeDocument/2006/relationships/hyperlink" Target="https://www.8a.nu/crags/sportclimbing/turkey/geyik-bayiri/sectors/mevlana/routes/crescendo/" TargetMode="External"/><Relationship Id="rId113" Type="http://schemas.openxmlformats.org/officeDocument/2006/relationships/hyperlink" Target="https://www.8a.nu/areas?country=poland" TargetMode="External"/><Relationship Id="rId112" Type="http://schemas.openxmlformats.org/officeDocument/2006/relationships/hyperlink" Target="https://www.8a.nu/crags/sportclimbing/poland/stokowka/sectors/przewiecha/routes/moge-wiecej" TargetMode="External"/><Relationship Id="rId111" Type="http://schemas.openxmlformats.org/officeDocument/2006/relationships/hyperlink" Target="https://www.8a.nu/areas?country=poland" TargetMode="External"/><Relationship Id="rId84" Type="http://schemas.openxmlformats.org/officeDocument/2006/relationships/hyperlink" Target="https://www.8a.nu/crags/sportclimbing/greece/mikri-elvetia/sectors/right-side/routes/grey-hair/" TargetMode="External"/><Relationship Id="rId83" Type="http://schemas.openxmlformats.org/officeDocument/2006/relationships/hyperlink" Target="https://www.8a.nu/crags/sportclimbing/greece/dornroeschen/sectors/king-of-thrones/routes/das-dumme-schwein-f12c4/" TargetMode="External"/><Relationship Id="rId86" Type="http://schemas.openxmlformats.org/officeDocument/2006/relationships/hyperlink" Target="https://www.8a.nu/crags/sportclimbing/turkey/yilan-seqs1/sectors/yilan/routes/showdown/" TargetMode="External"/><Relationship Id="rId85" Type="http://schemas.openxmlformats.org/officeDocument/2006/relationships/hyperlink" Target="https://www.8a.nu/crags/sportclimbing/greece/mikri-elvetia/sectors/right-side/routes/koukou/" TargetMode="External"/><Relationship Id="rId88" Type="http://schemas.openxmlformats.org/officeDocument/2006/relationships/hyperlink" Target="https://www.8a.nu/crags/sportclimbing/turkey/magara/sectors/magara/routes/karinca/" TargetMode="External"/><Relationship Id="rId150" Type="http://schemas.openxmlformats.org/officeDocument/2006/relationships/table" Target="../tables/table1.xml"/><Relationship Id="rId87" Type="http://schemas.openxmlformats.org/officeDocument/2006/relationships/hyperlink" Target="https://www.8a.nu/crags/sportclimbing/turkey/top-alani-sag/sectors/top-alani-sag/routes/cigerim-soendue/" TargetMode="External"/><Relationship Id="rId89" Type="http://schemas.openxmlformats.org/officeDocument/2006/relationships/hyperlink" Target="https://www.8a.nu/crags/sportclimbing/turkey/turkish-standard/sectors/turkish-standard/routes/sun-express/" TargetMode="External"/><Relationship Id="rId80" Type="http://schemas.openxmlformats.org/officeDocument/2006/relationships/hyperlink" Target="https://www.8a.nu/crags/sportclimbing/greece/theos/sectors/cave/routes/rocky-erickson-8b17f/" TargetMode="External"/><Relationship Id="rId82" Type="http://schemas.openxmlformats.org/officeDocument/2006/relationships/hyperlink" Target="https://www.8a.nu/crags/sportclimbing/greece/sabaton/sectors/mini-canyon/routes/and-cakes-by-tonnes/" TargetMode="External"/><Relationship Id="rId81" Type="http://schemas.openxmlformats.org/officeDocument/2006/relationships/hyperlink" Target="https://www.8a.nu/crags/sportclimbing/greece/h-a-d-a/sectors/hada/routes/tout-est-relatif/" TargetMode="External"/><Relationship Id="rId1" Type="http://schemas.openxmlformats.org/officeDocument/2006/relationships/hyperlink" Target="https://www.8a.nu/crags/sportclimbing/turkey/geyik-bayiri/sectors/mevlana/routes/semazen/" TargetMode="External"/><Relationship Id="rId2" Type="http://schemas.openxmlformats.org/officeDocument/2006/relationships/hyperlink" Target="https://www.8a.nu/crags/sportclimbing/turkey/geyik-bayiri/sectors/mevlana/routes/zen-attitude/" TargetMode="External"/><Relationship Id="rId3" Type="http://schemas.openxmlformats.org/officeDocument/2006/relationships/hyperlink" Target="https://www.8a.nu/crags/sportclimbing/turkey/geyik-bayiri/sectors/koridor/routes/patlican/" TargetMode="External"/><Relationship Id="rId4" Type="http://schemas.openxmlformats.org/officeDocument/2006/relationships/hyperlink" Target="https://www.8a.nu/crags/sportclimbing/turkey/geyik-bayiri/sectors/left-cave/routes/rocket-man/" TargetMode="External"/><Relationship Id="rId148" Type="http://schemas.openxmlformats.org/officeDocument/2006/relationships/drawing" Target="../drawings/drawing2.xml"/><Relationship Id="rId9" Type="http://schemas.openxmlformats.org/officeDocument/2006/relationships/hyperlink" Target="https://www.8a.nu/crags/sportclimbing/poland/stokowka/sectors/przewiecha/routes/przerysa-hubera/" TargetMode="External"/><Relationship Id="rId143" Type="http://schemas.openxmlformats.org/officeDocument/2006/relationships/hyperlink" Target="https://www.8a.nu/areas?country=turkey" TargetMode="External"/><Relationship Id="rId142" Type="http://schemas.openxmlformats.org/officeDocument/2006/relationships/hyperlink" Target="https://www.8a.nu/crags/sportclimbing/turkey/belen/sectors/belen-sol/routes/dobby-2-p" TargetMode="External"/><Relationship Id="rId141" Type="http://schemas.openxmlformats.org/officeDocument/2006/relationships/hyperlink" Target="https://www.8a.nu/areas?country=turkey" TargetMode="External"/><Relationship Id="rId140" Type="http://schemas.openxmlformats.org/officeDocument/2006/relationships/hyperlink" Target="https://www.8a.nu/crags/sportclimbing/turkey/belen/sectors/belen-sol/routes/kaleidoscope-2-p" TargetMode="External"/><Relationship Id="rId5" Type="http://schemas.openxmlformats.org/officeDocument/2006/relationships/hyperlink" Target="https://www.8a.nu/crags/sportclimbing/poland/gora-birow/sectors/sciana-nad-wykopem-archeo/routes/prostowanie-almaturu/" TargetMode="External"/><Relationship Id="rId147" Type="http://schemas.openxmlformats.org/officeDocument/2006/relationships/hyperlink" Target="https://www.8a.nu/areas?country=turkey" TargetMode="External"/><Relationship Id="rId6" Type="http://schemas.openxmlformats.org/officeDocument/2006/relationships/hyperlink" Target="https://www.8a.nu/crags/sportclimbing/poland/dolina-wiercicy/sectors/proxima-centauri/routes/sputnik-kw/" TargetMode="External"/><Relationship Id="rId146" Type="http://schemas.openxmlformats.org/officeDocument/2006/relationships/hyperlink" Target="https://www.8a.nu/crags/sportclimbing/turkey/kulluin/sectors/kuelluein/routes/orion" TargetMode="External"/><Relationship Id="rId7" Type="http://schemas.openxmlformats.org/officeDocument/2006/relationships/hyperlink" Target="https://www.8a.nu/crags/sportclimbing/poland/lutowiec/sectors/barak-slon/routes/pragnienie-e9b38/" TargetMode="External"/><Relationship Id="rId145" Type="http://schemas.openxmlformats.org/officeDocument/2006/relationships/hyperlink" Target="https://www.8a.nu/areas?country=turkey" TargetMode="External"/><Relationship Id="rId8" Type="http://schemas.openxmlformats.org/officeDocument/2006/relationships/hyperlink" Target="https://www.8a.nu/crags/sportclimbing/poland/lutowiec/sectors/ule/routes/prostowanie-roju/" TargetMode="External"/><Relationship Id="rId144" Type="http://schemas.openxmlformats.org/officeDocument/2006/relationships/hyperlink" Target="https://www.8a.nu/crags/sportclimbing/turkey/yilan-seqs1/sectors/yilan/routes/first-klaas" TargetMode="External"/><Relationship Id="rId73" Type="http://schemas.openxmlformats.org/officeDocument/2006/relationships/hyperlink" Target="https://www.8a.nu/areas/poland" TargetMode="External"/><Relationship Id="rId72" Type="http://schemas.openxmlformats.org/officeDocument/2006/relationships/hyperlink" Target="https://www.8a.nu/crags/sportclimbing/poland/kusieta/sectors/zielona-gora/routes/hakuna-matata/" TargetMode="External"/><Relationship Id="rId75" Type="http://schemas.openxmlformats.org/officeDocument/2006/relationships/hyperlink" Target="https://www.8a.nu/areas/poland" TargetMode="External"/><Relationship Id="rId74" Type="http://schemas.openxmlformats.org/officeDocument/2006/relationships/hyperlink" Target="https://www.8a.nu/crags/sportclimbing/poland/kusieta/sectors/zielona-gora/routes/ballada-o-marsjanach/" TargetMode="External"/><Relationship Id="rId77" Type="http://schemas.openxmlformats.org/officeDocument/2006/relationships/hyperlink" Target="https://www.8a.nu/crags/sportclimbing/italy/cala-mancina/sectors/sector-c/routes/jam-or-jump/" TargetMode="External"/><Relationship Id="rId76" Type="http://schemas.openxmlformats.org/officeDocument/2006/relationships/hyperlink" Target="https://www.8a.nu/crags/sportclimbing/poland/sokoliki/sectors/jastrzebia-turnia/routes/mandala-zycia/" TargetMode="External"/><Relationship Id="rId79" Type="http://schemas.openxmlformats.org/officeDocument/2006/relationships/hyperlink" Target="https://www.8a.nu/crags/sportclimbing/greece/sabaton/sectors/mini-canyon/routes/god-save-leonidio/" TargetMode="External"/><Relationship Id="rId78" Type="http://schemas.openxmlformats.org/officeDocument/2006/relationships/hyperlink" Target="https://www.8a.nu/crags/sportclimbing/greece/sabaton/sectors/mini-canyon/routes/paz-y-salud-212f5/" TargetMode="External"/><Relationship Id="rId71" Type="http://schemas.openxmlformats.org/officeDocument/2006/relationships/hyperlink" Target="https://www.8a.nu/areas/poland" TargetMode="External"/><Relationship Id="rId70" Type="http://schemas.openxmlformats.org/officeDocument/2006/relationships/hyperlink" Target="https://www.8a.nu/crags/sportclimbing/poland/lutowiec/sectors/pasieka/routes/pietaszek/" TargetMode="External"/><Relationship Id="rId139" Type="http://schemas.openxmlformats.org/officeDocument/2006/relationships/hyperlink" Target="https://www.8a.nu/areas?country=turkey" TargetMode="External"/><Relationship Id="rId138" Type="http://schemas.openxmlformats.org/officeDocument/2006/relationships/hyperlink" Target="https://www.8a.nu/crags/sportclimbing/turkey/belen/sectors/belen-sol/routes/harlem-2-p" TargetMode="External"/><Relationship Id="rId137" Type="http://schemas.openxmlformats.org/officeDocument/2006/relationships/hyperlink" Target="https://www.8a.nu/areas?country=turkey" TargetMode="External"/><Relationship Id="rId132" Type="http://schemas.openxmlformats.org/officeDocument/2006/relationships/hyperlink" Target="https://www.8a.nu/crags/sportclimbing/turkey/patagonia/sectors/patagonia/routes/bariloche" TargetMode="External"/><Relationship Id="rId131" Type="http://schemas.openxmlformats.org/officeDocument/2006/relationships/hyperlink" Target="https://www.8a.nu/areas?country=italy" TargetMode="External"/><Relationship Id="rId130" Type="http://schemas.openxmlformats.org/officeDocument/2006/relationships/hyperlink" Target="https://www.8a.nu/crags/sportclimbing/italy/sinistra-pietraia/sectors/sinistra-pietraia/routes/knochenmanderl" TargetMode="External"/><Relationship Id="rId136" Type="http://schemas.openxmlformats.org/officeDocument/2006/relationships/hyperlink" Target="https://www.8a.nu/crags/sportclimbing/turkey/beycik/sectors/sag/routes/deli-dumrul-15yvg" TargetMode="External"/><Relationship Id="rId135" Type="http://schemas.openxmlformats.org/officeDocument/2006/relationships/hyperlink" Target="https://www.8a.nu/areas?country=turkey" TargetMode="External"/><Relationship Id="rId134" Type="http://schemas.openxmlformats.org/officeDocument/2006/relationships/hyperlink" Target="https://www.8a.nu/crags/sportclimbing/turkey/patagonia/sectors/patagonia/routes/el-chalten" TargetMode="External"/><Relationship Id="rId133" Type="http://schemas.openxmlformats.org/officeDocument/2006/relationships/hyperlink" Target="https://www.8a.nu/areas?country=turkey" TargetMode="External"/><Relationship Id="rId62" Type="http://schemas.openxmlformats.org/officeDocument/2006/relationships/hyperlink" Target="https://www.8a.nu/crags/sportclimbing/greece/poets/sectors/iannis/routes/eclat-de-soleil/" TargetMode="External"/><Relationship Id="rId61" Type="http://schemas.openxmlformats.org/officeDocument/2006/relationships/hyperlink" Target="https://www.8a.nu/crags/sportclimbing/poland/stokowka/routes" TargetMode="External"/><Relationship Id="rId64" Type="http://schemas.openxmlformats.org/officeDocument/2006/relationships/hyperlink" Target="https://www.8a.nu/crags/sportclimbing/greece/kalydna/sectors/middle/routes/ixion/" TargetMode="External"/><Relationship Id="rId63" Type="http://schemas.openxmlformats.org/officeDocument/2006/relationships/hyperlink" Target="https://www.8a.nu/crags/sportclimbing/greece/poets/routes" TargetMode="External"/><Relationship Id="rId66" Type="http://schemas.openxmlformats.org/officeDocument/2006/relationships/hyperlink" Target="https://www.8a.nu/crags/sportclimbing/poland/lutowiec/sectors/zamkowa/routes/nocny-kochanek/" TargetMode="External"/><Relationship Id="rId65" Type="http://schemas.openxmlformats.org/officeDocument/2006/relationships/hyperlink" Target="https://www.8a.nu/crags/sportclimbing/greece/kalydna/routes" TargetMode="External"/><Relationship Id="rId68" Type="http://schemas.openxmlformats.org/officeDocument/2006/relationships/hyperlink" Target="https://www.8a.nu/crags/sportclimbing/poland/koloczek/sectors/ze-spadajacymi-gwiazdami/routes/prostowanie-cyklofrenii/" TargetMode="External"/><Relationship Id="rId67" Type="http://schemas.openxmlformats.org/officeDocument/2006/relationships/hyperlink" Target="https://www.8a.nu/areas/poland" TargetMode="External"/><Relationship Id="rId60" Type="http://schemas.openxmlformats.org/officeDocument/2006/relationships/hyperlink" Target="https://www.8a.nu/crags/sportclimbing/poland/stokowka/sectors/stokowka/routes/styczniowe-slonce/" TargetMode="External"/><Relationship Id="rId69" Type="http://schemas.openxmlformats.org/officeDocument/2006/relationships/hyperlink" Target="https://www.8a.nu/areas/poland" TargetMode="External"/><Relationship Id="rId51" Type="http://schemas.openxmlformats.org/officeDocument/2006/relationships/hyperlink" Target="https://www.8a.nu/crags/sportclimbing/greece/mars/sectors/mars/routes/jumanji-8431f/" TargetMode="External"/><Relationship Id="rId50" Type="http://schemas.openxmlformats.org/officeDocument/2006/relationships/hyperlink" Target="https://www.8a.nu/crags/sportclimbing/greece/theos/sectors/cave/routes/zeus-13364/" TargetMode="External"/><Relationship Id="rId53" Type="http://schemas.openxmlformats.org/officeDocument/2006/relationships/hyperlink" Target="https://www.8a.nu/crags/sportclimbing/greece/sabaton/sectors/sabaton-middle/routes/s-o-k-ext/" TargetMode="External"/><Relationship Id="rId52" Type="http://schemas.openxmlformats.org/officeDocument/2006/relationships/hyperlink" Target="https://www.8a.nu/crags/sportclimbing/greece/sabaton/sectors/sabaton-middle/routes/welcome-mossad/" TargetMode="External"/><Relationship Id="rId55" Type="http://schemas.openxmlformats.org/officeDocument/2006/relationships/hyperlink" Target="https://www.8a.nu/crags/sportclimbing/greece/skiadhianiko/sectors/skiadianiko-right/routes/ramasca/" TargetMode="External"/><Relationship Id="rId54" Type="http://schemas.openxmlformats.org/officeDocument/2006/relationships/hyperlink" Target="https://www.8a.nu/crags/sportclimbing/greece/sabaton/sectors/sabaton-middle/routes/roro/" TargetMode="External"/><Relationship Id="rId57" Type="http://schemas.openxmlformats.org/officeDocument/2006/relationships/hyperlink" Target="https://www.8a.nu/crags/sportclimbing/greece/adrspach-wall/sectors/adrspach-wall/routes/orange-express-d6e53/" TargetMode="External"/><Relationship Id="rId56" Type="http://schemas.openxmlformats.org/officeDocument/2006/relationships/hyperlink" Target="https://www.8a.nu/crags/sportclimbing/greece/skiadhianiko/routes" TargetMode="External"/><Relationship Id="rId59" Type="http://schemas.openxmlformats.org/officeDocument/2006/relationships/hyperlink" Target="https://www.8a.nu/crags/sportclimbing/turkey/ruzgarli-bahce/routes" TargetMode="External"/><Relationship Id="rId58" Type="http://schemas.openxmlformats.org/officeDocument/2006/relationships/hyperlink" Target="https://www.8a.nu/crags/sportclimbing/turkey/ruzgarli-bahce/sectors/ruezgarli-bahce/routes/uzun-ihsan-82e3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13.25"/>
    <col customWidth="1" min="3" max="3" width="12.5"/>
    <col customWidth="1" min="4" max="4" width="6.0"/>
    <col customWidth="1" min="5" max="5" width="10.0"/>
    <col customWidth="1" min="6" max="6" width="12.25"/>
    <col customWidth="1" min="7" max="7" width="12.75"/>
    <col customWidth="1" min="8" max="8" width="19.0"/>
    <col customWidth="1" min="9" max="9" width="52.88"/>
    <col customWidth="1" min="10" max="10" width="13.0"/>
    <col customWidth="1" min="11" max="11" width="19.63"/>
  </cols>
  <sheetData>
    <row r="1" ht="30.75" customHeight="1">
      <c r="A1" s="1" t="s">
        <v>0</v>
      </c>
      <c r="B1" s="1" t="s">
        <v>1</v>
      </c>
      <c r="C1" s="2" t="s">
        <v>2</v>
      </c>
      <c r="D1" s="3" t="s">
        <v>3</v>
      </c>
      <c r="E1" s="3" t="s">
        <v>4</v>
      </c>
      <c r="F1" s="3" t="s">
        <v>5</v>
      </c>
      <c r="G1" s="3" t="s">
        <v>6</v>
      </c>
      <c r="H1" s="3" t="s">
        <v>7</v>
      </c>
      <c r="I1" s="3" t="s">
        <v>8</v>
      </c>
      <c r="J1" s="3" t="s">
        <v>9</v>
      </c>
      <c r="K1" s="3" t="s">
        <v>10</v>
      </c>
      <c r="L1" s="4" t="s">
        <v>11</v>
      </c>
    </row>
    <row r="2" ht="48.0" customHeight="1">
      <c r="A2" s="5" t="s">
        <v>12</v>
      </c>
      <c r="B2" s="6" t="s">
        <v>13</v>
      </c>
      <c r="C2" s="6" t="s">
        <v>14</v>
      </c>
      <c r="D2" s="3">
        <v>1.0</v>
      </c>
      <c r="E2" s="7" t="s">
        <v>15</v>
      </c>
      <c r="F2" s="8">
        <v>44650.0</v>
      </c>
      <c r="G2" s="3" t="s">
        <v>16</v>
      </c>
      <c r="H2" s="3" t="s">
        <v>17</v>
      </c>
      <c r="I2" s="9" t="s">
        <v>18</v>
      </c>
      <c r="J2" s="3" t="s">
        <v>19</v>
      </c>
      <c r="K2" s="3" t="s">
        <v>20</v>
      </c>
      <c r="L2" s="10"/>
      <c r="M2" s="11"/>
      <c r="N2" s="11"/>
    </row>
    <row r="3" ht="28.5" customHeight="1">
      <c r="A3" s="5" t="s">
        <v>21</v>
      </c>
      <c r="B3" s="6" t="s">
        <v>14</v>
      </c>
      <c r="C3" s="6" t="s">
        <v>14</v>
      </c>
      <c r="D3" s="3">
        <v>3.0</v>
      </c>
      <c r="E3" s="12" t="s">
        <v>22</v>
      </c>
      <c r="F3" s="13">
        <v>44652.0</v>
      </c>
      <c r="G3" s="3" t="s">
        <v>23</v>
      </c>
      <c r="H3" s="3" t="s">
        <v>24</v>
      </c>
      <c r="I3" s="9" t="s">
        <v>25</v>
      </c>
      <c r="J3" s="3" t="s">
        <v>26</v>
      </c>
      <c r="K3" s="3" t="s">
        <v>20</v>
      </c>
      <c r="L3" s="10"/>
      <c r="M3" s="11"/>
      <c r="N3" s="11"/>
    </row>
    <row r="4" ht="37.5" customHeight="1">
      <c r="A4" s="5" t="s">
        <v>27</v>
      </c>
      <c r="B4" s="6" t="s">
        <v>28</v>
      </c>
      <c r="C4" s="6" t="s">
        <v>13</v>
      </c>
      <c r="D4" s="3">
        <v>6.0</v>
      </c>
      <c r="E4" s="12" t="s">
        <v>22</v>
      </c>
      <c r="F4" s="8">
        <v>44657.0</v>
      </c>
      <c r="G4" s="3" t="s">
        <v>29</v>
      </c>
      <c r="H4" s="3" t="s">
        <v>30</v>
      </c>
      <c r="I4" s="9" t="s">
        <v>31</v>
      </c>
      <c r="J4" s="3" t="s">
        <v>32</v>
      </c>
      <c r="K4" s="3" t="s">
        <v>33</v>
      </c>
      <c r="L4" s="10"/>
      <c r="M4" s="11"/>
      <c r="N4" s="11"/>
    </row>
    <row r="5" ht="52.5" customHeight="1">
      <c r="A5" s="5" t="s">
        <v>34</v>
      </c>
      <c r="B5" s="6" t="s">
        <v>13</v>
      </c>
      <c r="C5" s="6" t="s">
        <v>13</v>
      </c>
      <c r="D5" s="3">
        <v>6.0</v>
      </c>
      <c r="E5" s="12" t="s">
        <v>22</v>
      </c>
      <c r="F5" s="8">
        <v>44671.0</v>
      </c>
      <c r="G5" s="3" t="s">
        <v>35</v>
      </c>
      <c r="H5" s="3" t="s">
        <v>17</v>
      </c>
      <c r="I5" s="9" t="s">
        <v>36</v>
      </c>
      <c r="J5" s="14" t="s">
        <v>37</v>
      </c>
      <c r="K5" s="3" t="s">
        <v>38</v>
      </c>
      <c r="L5" s="10"/>
      <c r="M5" s="11"/>
      <c r="N5" s="11"/>
    </row>
    <row r="6" ht="37.5" customHeight="1">
      <c r="A6" s="5" t="s">
        <v>39</v>
      </c>
      <c r="B6" s="6" t="s">
        <v>40</v>
      </c>
      <c r="C6" s="6" t="s">
        <v>40</v>
      </c>
      <c r="D6" s="3">
        <v>6.0</v>
      </c>
      <c r="E6" s="12" t="s">
        <v>22</v>
      </c>
      <c r="F6" s="8">
        <v>44697.0</v>
      </c>
      <c r="G6" s="3" t="s">
        <v>29</v>
      </c>
      <c r="H6" s="3" t="s">
        <v>30</v>
      </c>
      <c r="I6" s="9" t="s">
        <v>41</v>
      </c>
      <c r="J6" s="15" t="s">
        <v>42</v>
      </c>
      <c r="K6" s="3" t="s">
        <v>43</v>
      </c>
      <c r="L6" s="10"/>
      <c r="M6" s="11"/>
      <c r="N6" s="11"/>
    </row>
    <row r="7" ht="37.5" customHeight="1">
      <c r="A7" s="5" t="s">
        <v>44</v>
      </c>
      <c r="B7" s="6" t="s">
        <v>13</v>
      </c>
      <c r="C7" s="6" t="s">
        <v>13</v>
      </c>
      <c r="D7" s="3">
        <v>6.0</v>
      </c>
      <c r="E7" s="12" t="s">
        <v>22</v>
      </c>
      <c r="F7" s="8">
        <v>44703.0</v>
      </c>
      <c r="G7" s="3" t="s">
        <v>45</v>
      </c>
      <c r="H7" s="3" t="s">
        <v>46</v>
      </c>
      <c r="I7" s="9" t="s">
        <v>47</v>
      </c>
      <c r="J7" s="14" t="s">
        <v>37</v>
      </c>
      <c r="K7" s="3" t="s">
        <v>33</v>
      </c>
      <c r="L7" s="10"/>
      <c r="M7" s="11"/>
      <c r="N7" s="11"/>
    </row>
    <row r="8" ht="37.5" customHeight="1">
      <c r="A8" s="5" t="s">
        <v>48</v>
      </c>
      <c r="B8" s="6" t="s">
        <v>40</v>
      </c>
      <c r="C8" s="6" t="s">
        <v>40</v>
      </c>
      <c r="D8" s="3">
        <v>9.0</v>
      </c>
      <c r="E8" s="12" t="s">
        <v>22</v>
      </c>
      <c r="F8" s="8">
        <v>44725.0</v>
      </c>
      <c r="G8" s="3" t="s">
        <v>23</v>
      </c>
      <c r="H8" s="3" t="s">
        <v>49</v>
      </c>
      <c r="I8" s="9" t="s">
        <v>50</v>
      </c>
      <c r="J8" s="3" t="s">
        <v>51</v>
      </c>
      <c r="K8" s="3" t="s">
        <v>20</v>
      </c>
      <c r="L8" s="10"/>
      <c r="M8" s="11"/>
      <c r="N8" s="11"/>
    </row>
    <row r="9" ht="37.5" customHeight="1">
      <c r="A9" s="5" t="s">
        <v>52</v>
      </c>
      <c r="B9" s="6" t="s">
        <v>14</v>
      </c>
      <c r="C9" s="6" t="s">
        <v>14</v>
      </c>
      <c r="D9" s="3">
        <v>2.0</v>
      </c>
      <c r="E9" s="12" t="s">
        <v>22</v>
      </c>
      <c r="F9" s="13">
        <v>44866.0</v>
      </c>
      <c r="G9" s="3" t="s">
        <v>53</v>
      </c>
      <c r="H9" s="3" t="s">
        <v>54</v>
      </c>
      <c r="I9" s="9" t="s">
        <v>55</v>
      </c>
      <c r="J9" s="3" t="s">
        <v>26</v>
      </c>
      <c r="K9" s="3" t="s">
        <v>33</v>
      </c>
      <c r="L9" s="10"/>
      <c r="M9" s="11"/>
      <c r="N9" s="11"/>
    </row>
    <row r="10" ht="37.5" customHeight="1">
      <c r="A10" s="5" t="s">
        <v>56</v>
      </c>
      <c r="B10" s="6" t="s">
        <v>13</v>
      </c>
      <c r="C10" s="6" t="s">
        <v>13</v>
      </c>
      <c r="D10" s="3">
        <v>8.0</v>
      </c>
      <c r="E10" s="12" t="s">
        <v>22</v>
      </c>
      <c r="F10" s="8">
        <v>44914.0</v>
      </c>
      <c r="G10" s="3" t="s">
        <v>57</v>
      </c>
      <c r="H10" s="3" t="s">
        <v>58</v>
      </c>
      <c r="I10" s="9" t="s">
        <v>59</v>
      </c>
      <c r="J10" s="3" t="s">
        <v>60</v>
      </c>
      <c r="K10" s="3" t="s">
        <v>61</v>
      </c>
      <c r="L10" s="10"/>
      <c r="M10" s="11"/>
      <c r="N10" s="11"/>
    </row>
    <row r="11" ht="34.5" customHeight="1">
      <c r="A11" s="5" t="s">
        <v>62</v>
      </c>
      <c r="B11" s="6" t="s">
        <v>14</v>
      </c>
      <c r="C11" s="6" t="s">
        <v>63</v>
      </c>
      <c r="D11" s="3">
        <v>2.0</v>
      </c>
      <c r="E11" s="12" t="s">
        <v>22</v>
      </c>
      <c r="F11" s="8">
        <v>44916.0</v>
      </c>
      <c r="G11" s="3" t="s">
        <v>64</v>
      </c>
      <c r="H11" s="3" t="s">
        <v>65</v>
      </c>
      <c r="I11" s="9" t="s">
        <v>66</v>
      </c>
      <c r="J11" s="3" t="s">
        <v>60</v>
      </c>
      <c r="K11" s="3" t="s">
        <v>67</v>
      </c>
      <c r="L11" s="10"/>
      <c r="M11" s="11"/>
      <c r="N11" s="11"/>
    </row>
    <row r="12" ht="40.5" customHeight="1">
      <c r="A12" s="5" t="s">
        <v>68</v>
      </c>
      <c r="B12" s="6" t="s">
        <v>13</v>
      </c>
      <c r="C12" s="6" t="s">
        <v>40</v>
      </c>
      <c r="D12" s="3">
        <v>20.0</v>
      </c>
      <c r="E12" s="12" t="s">
        <v>22</v>
      </c>
      <c r="F12" s="8">
        <v>44921.0</v>
      </c>
      <c r="G12" s="3" t="s">
        <v>69</v>
      </c>
      <c r="H12" s="3" t="s">
        <v>70</v>
      </c>
      <c r="I12" s="9" t="s">
        <v>71</v>
      </c>
      <c r="J12" s="3" t="s">
        <v>60</v>
      </c>
      <c r="K12" s="3" t="s">
        <v>20</v>
      </c>
      <c r="L12" s="10"/>
      <c r="M12" s="11"/>
      <c r="N12" s="11"/>
    </row>
    <row r="13" ht="39.75" customHeight="1">
      <c r="A13" s="5" t="s">
        <v>72</v>
      </c>
      <c r="B13" s="6" t="s">
        <v>40</v>
      </c>
      <c r="C13" s="6" t="s">
        <v>40</v>
      </c>
      <c r="D13" s="3">
        <v>5.0</v>
      </c>
      <c r="E13" s="12" t="s">
        <v>22</v>
      </c>
      <c r="F13" s="8">
        <v>44926.0</v>
      </c>
      <c r="G13" s="3" t="s">
        <v>57</v>
      </c>
      <c r="H13" s="3" t="s">
        <v>58</v>
      </c>
      <c r="I13" s="9" t="s">
        <v>73</v>
      </c>
      <c r="J13" s="3" t="s">
        <v>74</v>
      </c>
      <c r="K13" s="3" t="s">
        <v>20</v>
      </c>
      <c r="L13" s="10"/>
      <c r="M13" s="11"/>
      <c r="N13" s="11"/>
    </row>
    <row r="14" ht="39.75" customHeight="1">
      <c r="A14" s="5" t="s">
        <v>75</v>
      </c>
      <c r="B14" s="6" t="s">
        <v>76</v>
      </c>
      <c r="C14" s="6" t="s">
        <v>76</v>
      </c>
      <c r="D14" s="3">
        <v>8.0</v>
      </c>
      <c r="E14" s="12" t="s">
        <v>22</v>
      </c>
      <c r="F14" s="8">
        <v>44937.0</v>
      </c>
      <c r="G14" s="3" t="s">
        <v>69</v>
      </c>
      <c r="H14" s="3" t="s">
        <v>77</v>
      </c>
      <c r="I14" s="9" t="s">
        <v>78</v>
      </c>
      <c r="J14" s="3" t="s">
        <v>60</v>
      </c>
      <c r="K14" s="3" t="s">
        <v>79</v>
      </c>
      <c r="L14" s="10"/>
      <c r="M14" s="11"/>
      <c r="N14" s="11"/>
    </row>
    <row r="15" ht="67.5" customHeight="1">
      <c r="A15" s="5" t="s">
        <v>80</v>
      </c>
      <c r="B15" s="6" t="s">
        <v>13</v>
      </c>
      <c r="C15" s="6" t="s">
        <v>81</v>
      </c>
      <c r="D15" s="3">
        <v>2.0</v>
      </c>
      <c r="E15" s="12" t="s">
        <v>22</v>
      </c>
      <c r="F15" s="8">
        <v>44938.0</v>
      </c>
      <c r="G15" s="3" t="s">
        <v>23</v>
      </c>
      <c r="H15" s="3" t="s">
        <v>82</v>
      </c>
      <c r="I15" s="9" t="s">
        <v>83</v>
      </c>
      <c r="J15" s="3" t="s">
        <v>60</v>
      </c>
      <c r="K15" s="3" t="s">
        <v>61</v>
      </c>
      <c r="L15" s="10"/>
      <c r="M15" s="11"/>
      <c r="N15" s="11"/>
    </row>
    <row r="16" ht="65.25" customHeight="1">
      <c r="A16" s="5" t="s">
        <v>84</v>
      </c>
      <c r="B16" s="6" t="s">
        <v>13</v>
      </c>
      <c r="C16" s="6" t="s">
        <v>13</v>
      </c>
      <c r="D16" s="3">
        <v>4.0</v>
      </c>
      <c r="E16" s="12" t="s">
        <v>22</v>
      </c>
      <c r="F16" s="8">
        <v>44963.0</v>
      </c>
      <c r="G16" s="3" t="s">
        <v>23</v>
      </c>
      <c r="H16" s="3" t="s">
        <v>85</v>
      </c>
      <c r="I16" s="9" t="s">
        <v>86</v>
      </c>
      <c r="J16" s="3" t="s">
        <v>60</v>
      </c>
      <c r="K16" s="3" t="s">
        <v>61</v>
      </c>
      <c r="L16" s="10"/>
      <c r="M16" s="11"/>
      <c r="N16" s="11"/>
    </row>
    <row r="17" ht="75.0" customHeight="1">
      <c r="A17" s="5" t="s">
        <v>87</v>
      </c>
      <c r="B17" s="6" t="s">
        <v>13</v>
      </c>
      <c r="C17" s="6" t="s">
        <v>13</v>
      </c>
      <c r="D17" s="3">
        <v>2.0</v>
      </c>
      <c r="E17" s="12" t="s">
        <v>22</v>
      </c>
      <c r="F17" s="8">
        <v>44990.0</v>
      </c>
      <c r="G17" s="3" t="s">
        <v>88</v>
      </c>
      <c r="H17" s="3" t="s">
        <v>29</v>
      </c>
      <c r="I17" s="9" t="s">
        <v>89</v>
      </c>
      <c r="J17" s="3" t="s">
        <v>90</v>
      </c>
      <c r="K17" s="3" t="s">
        <v>33</v>
      </c>
      <c r="L17" s="10"/>
      <c r="M17" s="11"/>
      <c r="N17" s="11"/>
    </row>
    <row r="18" ht="74.25" customHeight="1">
      <c r="A18" s="5" t="s">
        <v>91</v>
      </c>
      <c r="B18" s="6" t="s">
        <v>13</v>
      </c>
      <c r="C18" s="6" t="s">
        <v>14</v>
      </c>
      <c r="D18" s="3">
        <v>1.0</v>
      </c>
      <c r="E18" s="7" t="s">
        <v>15</v>
      </c>
      <c r="F18" s="8">
        <v>44997.0</v>
      </c>
      <c r="G18" s="3" t="s">
        <v>92</v>
      </c>
      <c r="H18" s="3" t="s">
        <v>93</v>
      </c>
      <c r="I18" s="9" t="s">
        <v>94</v>
      </c>
      <c r="J18" s="3" t="s">
        <v>60</v>
      </c>
      <c r="K18" s="3" t="s">
        <v>95</v>
      </c>
      <c r="L18" s="10"/>
      <c r="M18" s="11"/>
      <c r="N18" s="11"/>
    </row>
    <row r="19" ht="57.0" customHeight="1">
      <c r="A19" s="5" t="s">
        <v>96</v>
      </c>
      <c r="B19" s="6" t="s">
        <v>13</v>
      </c>
      <c r="C19" s="6" t="s">
        <v>14</v>
      </c>
      <c r="D19" s="3">
        <v>2.0</v>
      </c>
      <c r="E19" s="12" t="s">
        <v>22</v>
      </c>
      <c r="F19" s="8">
        <v>44997.0</v>
      </c>
      <c r="G19" s="3" t="s">
        <v>57</v>
      </c>
      <c r="H19" s="3" t="s">
        <v>58</v>
      </c>
      <c r="I19" s="9" t="s">
        <v>97</v>
      </c>
      <c r="J19" s="3" t="s">
        <v>26</v>
      </c>
      <c r="K19" s="3" t="s">
        <v>98</v>
      </c>
      <c r="L19" s="10"/>
      <c r="M19" s="11"/>
      <c r="N19" s="11"/>
    </row>
    <row r="20" ht="78.75" customHeight="1">
      <c r="A20" s="5" t="s">
        <v>99</v>
      </c>
      <c r="B20" s="6" t="s">
        <v>14</v>
      </c>
      <c r="C20" s="6" t="s">
        <v>14</v>
      </c>
      <c r="D20" s="3">
        <v>2.0</v>
      </c>
      <c r="E20" s="12" t="s">
        <v>22</v>
      </c>
      <c r="F20" s="8">
        <v>45035.0</v>
      </c>
      <c r="G20" s="3" t="s">
        <v>23</v>
      </c>
      <c r="H20" s="3" t="s">
        <v>100</v>
      </c>
      <c r="I20" s="9" t="s">
        <v>101</v>
      </c>
      <c r="J20" s="3" t="s">
        <v>102</v>
      </c>
      <c r="K20" s="3" t="s">
        <v>103</v>
      </c>
      <c r="L20" s="10"/>
      <c r="M20" s="11"/>
      <c r="N20" s="11"/>
    </row>
    <row r="21" ht="60.0" customHeight="1">
      <c r="A21" s="5" t="s">
        <v>104</v>
      </c>
      <c r="B21" s="6" t="s">
        <v>14</v>
      </c>
      <c r="C21" s="6" t="s">
        <v>63</v>
      </c>
      <c r="D21" s="3">
        <v>1.0</v>
      </c>
      <c r="E21" s="7" t="s">
        <v>15</v>
      </c>
      <c r="F21" s="8">
        <v>45039.0</v>
      </c>
      <c r="G21" s="3" t="s">
        <v>105</v>
      </c>
      <c r="H21" s="3" t="s">
        <v>106</v>
      </c>
      <c r="I21" s="9" t="s">
        <v>107</v>
      </c>
      <c r="J21" s="3" t="s">
        <v>102</v>
      </c>
      <c r="K21" s="3" t="s">
        <v>98</v>
      </c>
      <c r="L21" s="10"/>
      <c r="M21" s="11"/>
      <c r="N21" s="11"/>
    </row>
    <row r="22" ht="65.25" customHeight="1">
      <c r="A22" s="5" t="s">
        <v>104</v>
      </c>
      <c r="B22" s="6" t="s">
        <v>14</v>
      </c>
      <c r="C22" s="6" t="s">
        <v>14</v>
      </c>
      <c r="D22" s="3">
        <v>1.0</v>
      </c>
      <c r="E22" s="7" t="s">
        <v>15</v>
      </c>
      <c r="F22" s="8">
        <v>45039.0</v>
      </c>
      <c r="G22" s="3" t="s">
        <v>105</v>
      </c>
      <c r="H22" s="3" t="s">
        <v>106</v>
      </c>
      <c r="I22" s="9" t="s">
        <v>108</v>
      </c>
      <c r="J22" s="3" t="s">
        <v>102</v>
      </c>
      <c r="K22" s="3" t="s">
        <v>98</v>
      </c>
      <c r="L22" s="10"/>
      <c r="M22" s="11"/>
      <c r="N22" s="11"/>
    </row>
    <row r="23" ht="77.25" customHeight="1">
      <c r="A23" s="5" t="s">
        <v>109</v>
      </c>
      <c r="B23" s="6" t="s">
        <v>14</v>
      </c>
      <c r="C23" s="6" t="s">
        <v>63</v>
      </c>
      <c r="D23" s="3">
        <v>2.0</v>
      </c>
      <c r="E23" s="12" t="s">
        <v>22</v>
      </c>
      <c r="F23" s="8">
        <v>45039.0</v>
      </c>
      <c r="G23" s="3" t="s">
        <v>105</v>
      </c>
      <c r="H23" s="3" t="s">
        <v>106</v>
      </c>
      <c r="I23" s="9" t="s">
        <v>110</v>
      </c>
      <c r="J23" s="3" t="s">
        <v>102</v>
      </c>
      <c r="K23" s="3" t="s">
        <v>98</v>
      </c>
      <c r="L23" s="10"/>
      <c r="M23" s="11"/>
      <c r="N23" s="11"/>
    </row>
    <row r="24" ht="38.25" customHeight="1">
      <c r="A24" s="5" t="s">
        <v>111</v>
      </c>
      <c r="B24" s="6" t="s">
        <v>13</v>
      </c>
      <c r="C24" s="6" t="s">
        <v>14</v>
      </c>
      <c r="D24" s="3">
        <v>2.0</v>
      </c>
      <c r="E24" s="12" t="s">
        <v>22</v>
      </c>
      <c r="F24" s="8">
        <v>45049.0</v>
      </c>
      <c r="G24" s="3" t="s">
        <v>112</v>
      </c>
      <c r="H24" s="3" t="s">
        <v>113</v>
      </c>
      <c r="I24" s="9" t="s">
        <v>114</v>
      </c>
      <c r="J24" s="3" t="s">
        <v>115</v>
      </c>
      <c r="K24" s="3" t="s">
        <v>33</v>
      </c>
      <c r="L24" s="10"/>
      <c r="M24" s="11"/>
      <c r="N24" s="11"/>
    </row>
    <row r="25" ht="46.5" customHeight="1">
      <c r="A25" s="5" t="s">
        <v>116</v>
      </c>
      <c r="B25" s="6" t="s">
        <v>13</v>
      </c>
      <c r="C25" s="6" t="s">
        <v>13</v>
      </c>
      <c r="D25" s="3">
        <v>2.0</v>
      </c>
      <c r="E25" s="12" t="s">
        <v>22</v>
      </c>
      <c r="F25" s="8">
        <v>45051.0</v>
      </c>
      <c r="G25" s="3" t="s">
        <v>112</v>
      </c>
      <c r="H25" s="3" t="s">
        <v>113</v>
      </c>
      <c r="I25" s="9" t="s">
        <v>117</v>
      </c>
      <c r="J25" s="3"/>
      <c r="K25" s="3" t="s">
        <v>38</v>
      </c>
      <c r="L25" s="10"/>
      <c r="M25" s="11"/>
      <c r="N25" s="11"/>
    </row>
    <row r="26" ht="69.0" customHeight="1">
      <c r="A26" s="5" t="s">
        <v>118</v>
      </c>
      <c r="B26" s="6" t="s">
        <v>40</v>
      </c>
      <c r="C26" s="6" t="s">
        <v>40</v>
      </c>
      <c r="D26" s="3">
        <v>4.0</v>
      </c>
      <c r="E26" s="12" t="s">
        <v>22</v>
      </c>
      <c r="F26" s="8">
        <v>45051.0</v>
      </c>
      <c r="G26" s="3" t="s">
        <v>16</v>
      </c>
      <c r="H26" s="3" t="s">
        <v>119</v>
      </c>
      <c r="I26" s="9" t="s">
        <v>120</v>
      </c>
      <c r="J26" s="3" t="s">
        <v>74</v>
      </c>
      <c r="K26" s="3" t="s">
        <v>38</v>
      </c>
      <c r="L26" s="10"/>
      <c r="M26" s="11"/>
      <c r="N26" s="11"/>
    </row>
    <row r="27" ht="69.75" customHeight="1">
      <c r="A27" s="5" t="s">
        <v>121</v>
      </c>
      <c r="B27" s="6" t="s">
        <v>122</v>
      </c>
      <c r="C27" s="6" t="s">
        <v>40</v>
      </c>
      <c r="D27" s="3">
        <v>2.0</v>
      </c>
      <c r="E27" s="12" t="s">
        <v>22</v>
      </c>
      <c r="F27" s="8">
        <v>45053.0</v>
      </c>
      <c r="G27" s="3" t="s">
        <v>123</v>
      </c>
      <c r="H27" s="3" t="s">
        <v>124</v>
      </c>
      <c r="I27" s="9" t="s">
        <v>125</v>
      </c>
      <c r="J27" s="3" t="s">
        <v>115</v>
      </c>
      <c r="K27" s="3" t="s">
        <v>33</v>
      </c>
      <c r="L27" s="10"/>
      <c r="M27" s="11"/>
      <c r="N27" s="11"/>
    </row>
    <row r="28" ht="87.75" customHeight="1">
      <c r="A28" s="5" t="s">
        <v>126</v>
      </c>
      <c r="B28" s="6" t="s">
        <v>76</v>
      </c>
      <c r="C28" s="6" t="s">
        <v>76</v>
      </c>
      <c r="D28" s="3">
        <v>4.0</v>
      </c>
      <c r="E28" s="12" t="s">
        <v>22</v>
      </c>
      <c r="F28" s="8">
        <v>45056.0</v>
      </c>
      <c r="G28" s="3" t="s">
        <v>127</v>
      </c>
      <c r="H28" s="3" t="s">
        <v>128</v>
      </c>
      <c r="I28" s="9" t="s">
        <v>129</v>
      </c>
      <c r="J28" s="3" t="s">
        <v>60</v>
      </c>
      <c r="K28" s="3" t="s">
        <v>103</v>
      </c>
      <c r="L28" s="10"/>
      <c r="M28" s="11"/>
      <c r="N28" s="11"/>
    </row>
    <row r="29" ht="48.75" customHeight="1">
      <c r="A29" s="5" t="s">
        <v>130</v>
      </c>
      <c r="B29" s="6" t="s">
        <v>13</v>
      </c>
      <c r="C29" s="6" t="s">
        <v>13</v>
      </c>
      <c r="D29" s="3">
        <v>3.0</v>
      </c>
      <c r="E29" s="12" t="s">
        <v>22</v>
      </c>
      <c r="F29" s="8">
        <v>45110.0</v>
      </c>
      <c r="G29" s="3" t="s">
        <v>131</v>
      </c>
      <c r="H29" s="3" t="s">
        <v>132</v>
      </c>
      <c r="I29" s="9" t="s">
        <v>133</v>
      </c>
      <c r="J29" s="3" t="s">
        <v>134</v>
      </c>
      <c r="K29" s="3" t="s">
        <v>79</v>
      </c>
      <c r="L29" s="10"/>
      <c r="M29" s="11"/>
      <c r="N29" s="11"/>
    </row>
    <row r="30" ht="46.5" customHeight="1">
      <c r="A30" s="5" t="s">
        <v>135</v>
      </c>
      <c r="B30" s="6" t="s">
        <v>14</v>
      </c>
      <c r="C30" s="6" t="s">
        <v>14</v>
      </c>
      <c r="D30" s="3">
        <v>2.0</v>
      </c>
      <c r="E30" s="7" t="s">
        <v>22</v>
      </c>
      <c r="F30" s="8">
        <v>45155.0</v>
      </c>
      <c r="G30" s="3" t="s">
        <v>29</v>
      </c>
      <c r="H30" s="3" t="s">
        <v>29</v>
      </c>
      <c r="I30" s="9" t="s">
        <v>136</v>
      </c>
      <c r="J30" s="3" t="s">
        <v>26</v>
      </c>
      <c r="K30" s="3" t="s">
        <v>137</v>
      </c>
      <c r="L30" s="10"/>
      <c r="M30" s="11"/>
      <c r="N30" s="11"/>
    </row>
    <row r="31" ht="39.0" customHeight="1">
      <c r="A31" s="5" t="s">
        <v>138</v>
      </c>
      <c r="B31" s="6" t="s">
        <v>14</v>
      </c>
      <c r="C31" s="6" t="s">
        <v>14</v>
      </c>
      <c r="D31" s="3">
        <v>2.0</v>
      </c>
      <c r="E31" s="7" t="s">
        <v>22</v>
      </c>
      <c r="F31" s="8">
        <v>45158.0</v>
      </c>
      <c r="G31" s="3" t="s">
        <v>139</v>
      </c>
      <c r="H31" s="3" t="s">
        <v>140</v>
      </c>
      <c r="I31" s="9" t="s">
        <v>141</v>
      </c>
      <c r="J31" s="3" t="s">
        <v>26</v>
      </c>
      <c r="K31" s="3" t="s">
        <v>38</v>
      </c>
      <c r="L31" s="10"/>
      <c r="M31" s="11"/>
      <c r="N31" s="11"/>
    </row>
    <row r="32" ht="45.75" customHeight="1">
      <c r="A32" s="5" t="s">
        <v>142</v>
      </c>
      <c r="B32" s="6" t="s">
        <v>14</v>
      </c>
      <c r="C32" s="6" t="s">
        <v>14</v>
      </c>
      <c r="D32" s="3">
        <v>2.0</v>
      </c>
      <c r="E32" s="12" t="s">
        <v>22</v>
      </c>
      <c r="F32" s="8">
        <v>45165.0</v>
      </c>
      <c r="G32" s="3" t="s">
        <v>53</v>
      </c>
      <c r="H32" s="3" t="s">
        <v>143</v>
      </c>
      <c r="I32" s="9" t="s">
        <v>144</v>
      </c>
      <c r="J32" s="3" t="s">
        <v>60</v>
      </c>
      <c r="K32" s="3" t="s">
        <v>33</v>
      </c>
      <c r="L32" s="10"/>
      <c r="M32" s="11"/>
      <c r="N32" s="11"/>
    </row>
    <row r="33" ht="47.25" customHeight="1">
      <c r="A33" s="5" t="s">
        <v>145</v>
      </c>
      <c r="B33" s="6" t="s">
        <v>14</v>
      </c>
      <c r="C33" s="6" t="s">
        <v>14</v>
      </c>
      <c r="D33" s="3">
        <v>2.0</v>
      </c>
      <c r="E33" s="12" t="s">
        <v>22</v>
      </c>
      <c r="F33" s="8">
        <v>45166.0</v>
      </c>
      <c r="G33" s="3" t="s">
        <v>57</v>
      </c>
      <c r="H33" s="3" t="s">
        <v>143</v>
      </c>
      <c r="I33" s="9" t="s">
        <v>146</v>
      </c>
      <c r="J33" s="3" t="s">
        <v>60</v>
      </c>
      <c r="K33" s="3" t="s">
        <v>33</v>
      </c>
      <c r="L33" s="10"/>
      <c r="M33" s="11"/>
      <c r="N33" s="11"/>
    </row>
    <row r="34" ht="36.0" customHeight="1">
      <c r="A34" s="5" t="s">
        <v>147</v>
      </c>
      <c r="B34" s="6" t="s">
        <v>63</v>
      </c>
      <c r="C34" s="6" t="s">
        <v>63</v>
      </c>
      <c r="D34" s="3">
        <v>1.0</v>
      </c>
      <c r="E34" s="12" t="s">
        <v>15</v>
      </c>
      <c r="F34" s="8">
        <v>45167.0</v>
      </c>
      <c r="G34" s="3" t="s">
        <v>148</v>
      </c>
      <c r="H34" s="3" t="s">
        <v>106</v>
      </c>
      <c r="I34" s="9" t="s">
        <v>149</v>
      </c>
      <c r="J34" s="3" t="s">
        <v>60</v>
      </c>
      <c r="K34" s="3" t="s">
        <v>33</v>
      </c>
      <c r="L34" s="10"/>
      <c r="M34" s="11"/>
      <c r="N34" s="11"/>
    </row>
    <row r="35" ht="30.75" customHeight="1">
      <c r="A35" s="5" t="s">
        <v>150</v>
      </c>
      <c r="B35" s="6" t="s">
        <v>40</v>
      </c>
      <c r="C35" s="6" t="s">
        <v>40</v>
      </c>
      <c r="D35" s="3">
        <v>5.0</v>
      </c>
      <c r="E35" s="12" t="s">
        <v>22</v>
      </c>
      <c r="F35" s="8">
        <v>45187.0</v>
      </c>
      <c r="G35" s="3" t="s">
        <v>16</v>
      </c>
      <c r="H35" s="3" t="s">
        <v>17</v>
      </c>
      <c r="I35" s="9" t="s">
        <v>151</v>
      </c>
      <c r="J35" s="3" t="s">
        <v>134</v>
      </c>
      <c r="K35" s="3" t="s">
        <v>103</v>
      </c>
      <c r="L35" s="10"/>
      <c r="M35" s="11"/>
      <c r="N35" s="11"/>
    </row>
    <row r="36" ht="33.0" customHeight="1">
      <c r="A36" s="5" t="s">
        <v>152</v>
      </c>
      <c r="B36" s="6" t="s">
        <v>13</v>
      </c>
      <c r="C36" s="6" t="s">
        <v>13</v>
      </c>
      <c r="D36" s="3">
        <v>1.0</v>
      </c>
      <c r="E36" s="12" t="s">
        <v>15</v>
      </c>
      <c r="F36" s="8">
        <v>45191.0</v>
      </c>
      <c r="G36" s="3" t="s">
        <v>16</v>
      </c>
      <c r="H36" s="3" t="s">
        <v>58</v>
      </c>
      <c r="I36" s="9" t="s">
        <v>153</v>
      </c>
      <c r="J36" s="3" t="s">
        <v>154</v>
      </c>
      <c r="K36" s="3" t="s">
        <v>155</v>
      </c>
      <c r="L36" s="10"/>
      <c r="M36" s="11"/>
      <c r="N36" s="11"/>
    </row>
    <row r="37" ht="41.25" customHeight="1">
      <c r="A37" s="5" t="s">
        <v>156</v>
      </c>
      <c r="B37" s="6" t="s">
        <v>40</v>
      </c>
      <c r="C37" s="6" t="s">
        <v>40</v>
      </c>
      <c r="D37" s="3">
        <v>2.0</v>
      </c>
      <c r="E37" s="12" t="s">
        <v>22</v>
      </c>
      <c r="F37" s="8">
        <v>45191.0</v>
      </c>
      <c r="G37" s="3" t="s">
        <v>29</v>
      </c>
      <c r="H37" s="3" t="s">
        <v>17</v>
      </c>
      <c r="I37" s="9" t="s">
        <v>157</v>
      </c>
      <c r="J37" s="3" t="s">
        <v>26</v>
      </c>
      <c r="K37" s="3" t="s">
        <v>155</v>
      </c>
      <c r="L37" s="10"/>
      <c r="M37" s="11"/>
      <c r="N37" s="11"/>
    </row>
    <row r="38" ht="41.25" customHeight="1">
      <c r="A38" s="5" t="s">
        <v>158</v>
      </c>
      <c r="B38" s="6" t="s">
        <v>13</v>
      </c>
      <c r="C38" s="6" t="s">
        <v>13</v>
      </c>
      <c r="D38" s="3">
        <v>1.0</v>
      </c>
      <c r="E38" s="12" t="s">
        <v>159</v>
      </c>
      <c r="F38" s="8">
        <v>45205.0</v>
      </c>
      <c r="G38" s="3" t="s">
        <v>16</v>
      </c>
      <c r="H38" s="3" t="s">
        <v>58</v>
      </c>
      <c r="I38" s="9" t="s">
        <v>160</v>
      </c>
      <c r="J38" s="3" t="s">
        <v>19</v>
      </c>
      <c r="K38" s="3" t="s">
        <v>161</v>
      </c>
      <c r="L38" s="10"/>
      <c r="M38" s="11"/>
      <c r="N38" s="11"/>
    </row>
    <row r="39" ht="34.5" customHeight="1">
      <c r="A39" s="5" t="s">
        <v>162</v>
      </c>
      <c r="B39" s="6" t="s">
        <v>13</v>
      </c>
      <c r="C39" s="6" t="s">
        <v>163</v>
      </c>
      <c r="D39" s="3">
        <v>2.0</v>
      </c>
      <c r="E39" s="12" t="s">
        <v>22</v>
      </c>
      <c r="F39" s="8">
        <v>45205.0</v>
      </c>
      <c r="G39" s="3" t="s">
        <v>164</v>
      </c>
      <c r="H39" s="3" t="s">
        <v>164</v>
      </c>
      <c r="I39" s="9" t="s">
        <v>165</v>
      </c>
      <c r="J39" s="3" t="s">
        <v>154</v>
      </c>
      <c r="K39" s="3" t="s">
        <v>161</v>
      </c>
      <c r="L39" s="10"/>
      <c r="M39" s="11"/>
      <c r="N39" s="11"/>
    </row>
    <row r="40" ht="46.5" customHeight="1">
      <c r="A40" s="5" t="s">
        <v>166</v>
      </c>
      <c r="B40" s="6" t="s">
        <v>40</v>
      </c>
      <c r="C40" s="6" t="s">
        <v>40</v>
      </c>
      <c r="D40" s="3">
        <v>3.0</v>
      </c>
      <c r="E40" s="12" t="s">
        <v>22</v>
      </c>
      <c r="F40" s="8">
        <v>45205.0</v>
      </c>
      <c r="G40" s="3" t="s">
        <v>16</v>
      </c>
      <c r="H40" s="3" t="s">
        <v>58</v>
      </c>
      <c r="I40" s="9" t="s">
        <v>167</v>
      </c>
      <c r="J40" s="3" t="s">
        <v>19</v>
      </c>
      <c r="K40" s="3" t="s">
        <v>161</v>
      </c>
      <c r="L40" s="10"/>
      <c r="M40" s="11"/>
      <c r="N40" s="11"/>
    </row>
    <row r="41" ht="48.75" customHeight="1">
      <c r="A41" s="5" t="s">
        <v>168</v>
      </c>
      <c r="B41" s="6" t="s">
        <v>13</v>
      </c>
      <c r="C41" s="6" t="s">
        <v>13</v>
      </c>
      <c r="D41" s="3">
        <v>2.0</v>
      </c>
      <c r="E41" s="12" t="s">
        <v>22</v>
      </c>
      <c r="F41" s="8">
        <v>45210.0</v>
      </c>
      <c r="G41" s="3" t="s">
        <v>29</v>
      </c>
      <c r="H41" s="3" t="s">
        <v>29</v>
      </c>
      <c r="I41" s="9" t="s">
        <v>169</v>
      </c>
      <c r="J41" s="3" t="s">
        <v>60</v>
      </c>
      <c r="K41" s="3" t="s">
        <v>161</v>
      </c>
      <c r="L41" s="10"/>
      <c r="M41" s="11"/>
      <c r="N41" s="11"/>
    </row>
    <row r="42" ht="69.75" customHeight="1">
      <c r="A42" s="5" t="s">
        <v>170</v>
      </c>
      <c r="B42" s="6" t="s">
        <v>40</v>
      </c>
      <c r="C42" s="6" t="s">
        <v>40</v>
      </c>
      <c r="D42" s="3">
        <v>2.0</v>
      </c>
      <c r="E42" s="12" t="s">
        <v>22</v>
      </c>
      <c r="F42" s="8">
        <v>45210.0</v>
      </c>
      <c r="G42" s="3" t="s">
        <v>23</v>
      </c>
      <c r="H42" s="3" t="s">
        <v>171</v>
      </c>
      <c r="I42" s="9" t="s">
        <v>172</v>
      </c>
      <c r="J42" s="3" t="s">
        <v>60</v>
      </c>
      <c r="K42" s="3" t="s">
        <v>161</v>
      </c>
      <c r="L42" s="16"/>
    </row>
    <row r="43" ht="58.5" customHeight="1">
      <c r="A43" s="5" t="s">
        <v>173</v>
      </c>
      <c r="B43" s="6" t="s">
        <v>63</v>
      </c>
      <c r="C43" s="6" t="s">
        <v>174</v>
      </c>
      <c r="D43" s="3">
        <v>1.0</v>
      </c>
      <c r="E43" s="12" t="s">
        <v>15</v>
      </c>
      <c r="F43" s="8">
        <v>45212.0</v>
      </c>
      <c r="G43" s="3" t="s">
        <v>23</v>
      </c>
      <c r="H43" s="3" t="s">
        <v>171</v>
      </c>
      <c r="I43" s="9" t="s">
        <v>175</v>
      </c>
      <c r="J43" s="3" t="s">
        <v>60</v>
      </c>
      <c r="K43" s="3" t="s">
        <v>161</v>
      </c>
      <c r="L43" s="16"/>
    </row>
    <row r="44" ht="65.25" customHeight="1">
      <c r="A44" s="5" t="s">
        <v>176</v>
      </c>
      <c r="B44" s="6" t="s">
        <v>13</v>
      </c>
      <c r="C44" s="6" t="s">
        <v>13</v>
      </c>
      <c r="D44" s="3">
        <v>2.0</v>
      </c>
      <c r="E44" s="12" t="s">
        <v>22</v>
      </c>
      <c r="F44" s="8">
        <v>45212.0</v>
      </c>
      <c r="G44" s="3" t="s">
        <v>23</v>
      </c>
      <c r="H44" s="3" t="s">
        <v>171</v>
      </c>
      <c r="I44" s="9" t="s">
        <v>177</v>
      </c>
      <c r="J44" s="3" t="s">
        <v>60</v>
      </c>
      <c r="K44" s="3" t="s">
        <v>161</v>
      </c>
      <c r="L44" s="16"/>
    </row>
    <row r="45" ht="114.0" customHeight="1">
      <c r="A45" s="5" t="s">
        <v>178</v>
      </c>
      <c r="B45" s="6" t="s">
        <v>122</v>
      </c>
      <c r="C45" s="6" t="s">
        <v>122</v>
      </c>
      <c r="D45" s="3">
        <v>7.0</v>
      </c>
      <c r="E45" s="12" t="s">
        <v>22</v>
      </c>
      <c r="F45" s="8">
        <v>45215.0</v>
      </c>
      <c r="G45" s="3" t="s">
        <v>179</v>
      </c>
      <c r="H45" s="3" t="s">
        <v>180</v>
      </c>
      <c r="I45" s="9" t="s">
        <v>181</v>
      </c>
      <c r="J45" s="3" t="s">
        <v>182</v>
      </c>
      <c r="K45" s="3" t="s">
        <v>20</v>
      </c>
      <c r="L45" s="16"/>
    </row>
    <row r="46" ht="64.5" customHeight="1">
      <c r="A46" s="5" t="s">
        <v>183</v>
      </c>
      <c r="B46" s="6" t="s">
        <v>13</v>
      </c>
      <c r="C46" s="6" t="s">
        <v>13</v>
      </c>
      <c r="D46" s="3">
        <v>2.0</v>
      </c>
      <c r="E46" s="12" t="s">
        <v>22</v>
      </c>
      <c r="F46" s="8">
        <v>45261.0</v>
      </c>
      <c r="G46" s="3" t="s">
        <v>16</v>
      </c>
      <c r="H46" s="3" t="s">
        <v>184</v>
      </c>
      <c r="I46" s="9" t="s">
        <v>185</v>
      </c>
      <c r="J46" s="3" t="s">
        <v>186</v>
      </c>
      <c r="K46" s="3" t="s">
        <v>161</v>
      </c>
      <c r="L46" s="16"/>
    </row>
    <row r="47" ht="60.75" customHeight="1">
      <c r="A47" s="5" t="s">
        <v>187</v>
      </c>
      <c r="B47" s="6" t="s">
        <v>13</v>
      </c>
      <c r="C47" s="6" t="s">
        <v>13</v>
      </c>
      <c r="D47" s="3">
        <v>3.0</v>
      </c>
      <c r="E47" s="12" t="s">
        <v>22</v>
      </c>
      <c r="F47" s="8">
        <v>45278.0</v>
      </c>
      <c r="G47" s="3" t="s">
        <v>188</v>
      </c>
      <c r="H47" s="3" t="s">
        <v>189</v>
      </c>
      <c r="I47" s="9" t="s">
        <v>190</v>
      </c>
      <c r="J47" s="3" t="s">
        <v>19</v>
      </c>
      <c r="K47" s="3" t="s">
        <v>161</v>
      </c>
      <c r="L47" s="16"/>
    </row>
    <row r="48" ht="64.5" customHeight="1">
      <c r="A48" s="5" t="s">
        <v>191</v>
      </c>
      <c r="B48" s="6" t="s">
        <v>13</v>
      </c>
      <c r="C48" s="6" t="s">
        <v>13</v>
      </c>
      <c r="D48" s="3">
        <v>3.0</v>
      </c>
      <c r="E48" s="12" t="s">
        <v>22</v>
      </c>
      <c r="F48" s="8">
        <v>45280.0</v>
      </c>
      <c r="G48" s="3" t="s">
        <v>188</v>
      </c>
      <c r="H48" s="3" t="s">
        <v>189</v>
      </c>
      <c r="I48" s="9" t="s">
        <v>192</v>
      </c>
      <c r="J48" s="3" t="s">
        <v>19</v>
      </c>
      <c r="K48" s="3" t="s">
        <v>161</v>
      </c>
      <c r="L48" s="16"/>
    </row>
    <row r="49" ht="54.75" customHeight="1">
      <c r="A49" s="5" t="s">
        <v>187</v>
      </c>
      <c r="B49" s="6" t="s">
        <v>13</v>
      </c>
      <c r="C49" s="6" t="s">
        <v>40</v>
      </c>
      <c r="D49" s="3">
        <v>8.0</v>
      </c>
      <c r="E49" s="12" t="s">
        <v>22</v>
      </c>
      <c r="F49" s="8">
        <v>45285.0</v>
      </c>
      <c r="G49" s="3" t="s">
        <v>188</v>
      </c>
      <c r="H49" s="3" t="s">
        <v>58</v>
      </c>
      <c r="I49" s="9" t="s">
        <v>193</v>
      </c>
      <c r="J49" s="3" t="s">
        <v>19</v>
      </c>
      <c r="K49" s="3" t="s">
        <v>161</v>
      </c>
      <c r="L49" s="16"/>
    </row>
    <row r="50" ht="65.25" customHeight="1">
      <c r="A50" s="5" t="s">
        <v>168</v>
      </c>
      <c r="B50" s="6" t="s">
        <v>28</v>
      </c>
      <c r="C50" s="6" t="s">
        <v>14</v>
      </c>
      <c r="D50" s="3">
        <v>1.0</v>
      </c>
      <c r="E50" s="12" t="s">
        <v>15</v>
      </c>
      <c r="F50" s="8">
        <v>45338.0</v>
      </c>
      <c r="G50" s="3" t="s">
        <v>29</v>
      </c>
      <c r="H50" s="3" t="s">
        <v>17</v>
      </c>
      <c r="I50" s="9" t="s">
        <v>194</v>
      </c>
      <c r="J50" s="3" t="s">
        <v>19</v>
      </c>
      <c r="K50" s="3" t="s">
        <v>195</v>
      </c>
      <c r="L50" s="16"/>
    </row>
    <row r="51" ht="69.75" customHeight="1">
      <c r="A51" s="5" t="s">
        <v>196</v>
      </c>
      <c r="B51" s="6" t="s">
        <v>13</v>
      </c>
      <c r="C51" s="6" t="s">
        <v>13</v>
      </c>
      <c r="D51" s="3">
        <v>2.0</v>
      </c>
      <c r="E51" s="12" t="s">
        <v>22</v>
      </c>
      <c r="F51" s="8">
        <v>45339.0</v>
      </c>
      <c r="G51" s="3" t="s">
        <v>29</v>
      </c>
      <c r="H51" s="3" t="s">
        <v>17</v>
      </c>
      <c r="I51" s="9" t="s">
        <v>197</v>
      </c>
      <c r="J51" s="3" t="s">
        <v>19</v>
      </c>
      <c r="K51" s="3" t="s">
        <v>195</v>
      </c>
      <c r="L51" s="16"/>
    </row>
    <row r="52" ht="46.5" customHeight="1">
      <c r="A52" s="5" t="s">
        <v>198</v>
      </c>
      <c r="B52" s="6" t="s">
        <v>40</v>
      </c>
      <c r="C52" s="6" t="s">
        <v>13</v>
      </c>
      <c r="D52" s="3">
        <v>2.0</v>
      </c>
      <c r="E52" s="12" t="s">
        <v>22</v>
      </c>
      <c r="F52" s="8">
        <v>45341.0</v>
      </c>
      <c r="G52" s="3" t="s">
        <v>199</v>
      </c>
      <c r="H52" s="3" t="s">
        <v>200</v>
      </c>
      <c r="I52" s="9" t="s">
        <v>201</v>
      </c>
      <c r="J52" s="3" t="s">
        <v>102</v>
      </c>
      <c r="K52" s="3" t="s">
        <v>161</v>
      </c>
      <c r="L52" s="16"/>
    </row>
    <row r="53" ht="54.75" customHeight="1">
      <c r="A53" s="5" t="s">
        <v>202</v>
      </c>
      <c r="B53" s="6" t="s">
        <v>40</v>
      </c>
      <c r="C53" s="6" t="s">
        <v>40</v>
      </c>
      <c r="D53" s="3">
        <v>4.0</v>
      </c>
      <c r="E53" s="12" t="s">
        <v>22</v>
      </c>
      <c r="F53" s="8">
        <v>45350.0</v>
      </c>
      <c r="G53" s="3" t="s">
        <v>203</v>
      </c>
      <c r="H53" s="3" t="s">
        <v>82</v>
      </c>
      <c r="I53" s="9" t="s">
        <v>204</v>
      </c>
      <c r="J53" s="3" t="s">
        <v>19</v>
      </c>
      <c r="K53" s="3" t="s">
        <v>161</v>
      </c>
      <c r="L53" s="16"/>
    </row>
    <row r="54" ht="55.5" customHeight="1">
      <c r="A54" s="5" t="s">
        <v>205</v>
      </c>
      <c r="B54" s="6" t="s">
        <v>40</v>
      </c>
      <c r="C54" s="6" t="s">
        <v>40</v>
      </c>
      <c r="D54" s="3">
        <v>3.0</v>
      </c>
      <c r="E54" s="12" t="s">
        <v>22</v>
      </c>
      <c r="F54" s="8">
        <v>45366.0</v>
      </c>
      <c r="G54" s="3" t="s">
        <v>113</v>
      </c>
      <c r="H54" s="3" t="s">
        <v>206</v>
      </c>
      <c r="I54" s="9"/>
      <c r="J54" s="3" t="s">
        <v>19</v>
      </c>
      <c r="K54" s="3" t="s">
        <v>161</v>
      </c>
      <c r="L54" s="16"/>
    </row>
    <row r="55" ht="50.25" customHeight="1">
      <c r="A55" s="5" t="s">
        <v>207</v>
      </c>
      <c r="B55" s="6" t="s">
        <v>122</v>
      </c>
      <c r="C55" s="6" t="s">
        <v>76</v>
      </c>
      <c r="D55" s="3">
        <v>6.0</v>
      </c>
      <c r="E55" s="12" t="s">
        <v>22</v>
      </c>
      <c r="F55" s="8">
        <v>45373.0</v>
      </c>
      <c r="G55" s="3" t="s">
        <v>208</v>
      </c>
      <c r="H55" s="3" t="s">
        <v>206</v>
      </c>
      <c r="I55" s="9" t="s">
        <v>209</v>
      </c>
      <c r="J55" s="3" t="s">
        <v>186</v>
      </c>
      <c r="K55" s="3" t="s">
        <v>161</v>
      </c>
      <c r="L55" s="16"/>
    </row>
    <row r="56" ht="29.25" customHeight="1">
      <c r="A56" s="5" t="s">
        <v>210</v>
      </c>
      <c r="B56" s="6" t="s">
        <v>63</v>
      </c>
      <c r="C56" s="6" t="s">
        <v>63</v>
      </c>
      <c r="D56" s="3">
        <v>1.0</v>
      </c>
      <c r="E56" s="12" t="s">
        <v>15</v>
      </c>
      <c r="F56" s="8">
        <v>45411.0</v>
      </c>
      <c r="G56" s="3" t="s">
        <v>211</v>
      </c>
      <c r="H56" s="3" t="s">
        <v>212</v>
      </c>
      <c r="I56" s="9" t="s">
        <v>213</v>
      </c>
      <c r="J56" s="3" t="s">
        <v>214</v>
      </c>
      <c r="K56" s="3" t="s">
        <v>161</v>
      </c>
      <c r="L56" s="16"/>
    </row>
    <row r="57" ht="41.25" customHeight="1">
      <c r="A57" s="5" t="s">
        <v>215</v>
      </c>
      <c r="B57" s="6" t="s">
        <v>63</v>
      </c>
      <c r="C57" s="6" t="s">
        <v>63</v>
      </c>
      <c r="D57" s="3">
        <v>1.0</v>
      </c>
      <c r="E57" s="12" t="s">
        <v>15</v>
      </c>
      <c r="F57" s="8">
        <v>45411.0</v>
      </c>
      <c r="G57" s="3" t="s">
        <v>211</v>
      </c>
      <c r="H57" s="3" t="s">
        <v>128</v>
      </c>
      <c r="I57" s="9" t="s">
        <v>216</v>
      </c>
      <c r="J57" s="3" t="s">
        <v>19</v>
      </c>
      <c r="K57" s="3" t="s">
        <v>161</v>
      </c>
      <c r="L57" s="16"/>
    </row>
    <row r="58" ht="42.0" customHeight="1">
      <c r="A58" s="5" t="s">
        <v>158</v>
      </c>
      <c r="B58" s="6" t="s">
        <v>13</v>
      </c>
      <c r="C58" s="6" t="s">
        <v>13</v>
      </c>
      <c r="D58" s="3">
        <v>3.0</v>
      </c>
      <c r="E58" s="12" t="s">
        <v>22</v>
      </c>
      <c r="F58" s="8">
        <v>45415.0</v>
      </c>
      <c r="G58" s="3" t="s">
        <v>208</v>
      </c>
      <c r="H58" s="3" t="s">
        <v>128</v>
      </c>
      <c r="I58" s="9"/>
      <c r="J58" s="3" t="s">
        <v>217</v>
      </c>
      <c r="K58" s="3" t="s">
        <v>161</v>
      </c>
      <c r="L58" s="16"/>
    </row>
    <row r="59" ht="46.5" customHeight="1">
      <c r="A59" s="5" t="s">
        <v>176</v>
      </c>
      <c r="B59" s="6" t="s">
        <v>122</v>
      </c>
      <c r="C59" s="6" t="s">
        <v>40</v>
      </c>
      <c r="D59" s="3">
        <v>3.0</v>
      </c>
      <c r="E59" s="12" t="s">
        <v>22</v>
      </c>
      <c r="F59" s="8">
        <v>45481.0</v>
      </c>
      <c r="G59" s="3" t="s">
        <v>113</v>
      </c>
      <c r="H59" s="3" t="s">
        <v>218</v>
      </c>
      <c r="I59" s="9" t="s">
        <v>219</v>
      </c>
      <c r="J59" s="3" t="s">
        <v>26</v>
      </c>
      <c r="K59" s="3" t="s">
        <v>20</v>
      </c>
      <c r="L59" s="16"/>
    </row>
    <row r="60" ht="56.25" customHeight="1">
      <c r="A60" s="5" t="s">
        <v>220</v>
      </c>
      <c r="B60" s="6" t="s">
        <v>13</v>
      </c>
      <c r="C60" s="6" t="s">
        <v>13</v>
      </c>
      <c r="D60" s="3">
        <v>2.0</v>
      </c>
      <c r="E60" s="12" t="s">
        <v>22</v>
      </c>
      <c r="F60" s="8">
        <v>45488.0</v>
      </c>
      <c r="G60" s="3" t="s">
        <v>221</v>
      </c>
      <c r="H60" s="3" t="s">
        <v>106</v>
      </c>
      <c r="I60" s="9" t="s">
        <v>222</v>
      </c>
      <c r="J60" s="3" t="s">
        <v>19</v>
      </c>
      <c r="K60" s="3" t="s">
        <v>161</v>
      </c>
      <c r="L60" s="16"/>
    </row>
    <row r="61" ht="51.75" customHeight="1">
      <c r="A61" s="5" t="s">
        <v>223</v>
      </c>
      <c r="B61" s="6" t="s">
        <v>13</v>
      </c>
      <c r="C61" s="6" t="s">
        <v>13</v>
      </c>
      <c r="D61" s="3">
        <v>2.0</v>
      </c>
      <c r="E61" s="12" t="s">
        <v>22</v>
      </c>
      <c r="F61" s="8">
        <v>45489.0</v>
      </c>
      <c r="G61" s="3" t="s">
        <v>203</v>
      </c>
      <c r="H61" s="3" t="s">
        <v>224</v>
      </c>
      <c r="I61" s="9" t="s">
        <v>225</v>
      </c>
      <c r="J61" s="3" t="s">
        <v>115</v>
      </c>
      <c r="K61" s="3" t="s">
        <v>161</v>
      </c>
      <c r="L61" s="16"/>
    </row>
    <row r="62" ht="49.5" customHeight="1">
      <c r="A62" s="5" t="s">
        <v>226</v>
      </c>
      <c r="B62" s="6" t="s">
        <v>13</v>
      </c>
      <c r="C62" s="6" t="s">
        <v>13</v>
      </c>
      <c r="D62" s="3">
        <v>3.0</v>
      </c>
      <c r="E62" s="12" t="s">
        <v>22</v>
      </c>
      <c r="F62" s="8">
        <v>45495.0</v>
      </c>
      <c r="G62" s="3" t="s">
        <v>221</v>
      </c>
      <c r="H62" s="3" t="s">
        <v>106</v>
      </c>
      <c r="I62" s="9" t="s">
        <v>227</v>
      </c>
      <c r="J62" s="3" t="s">
        <v>19</v>
      </c>
      <c r="K62" s="3" t="s">
        <v>161</v>
      </c>
      <c r="L62" s="16"/>
    </row>
    <row r="63" ht="59.25" customHeight="1">
      <c r="A63" s="5" t="s">
        <v>228</v>
      </c>
      <c r="B63" s="6" t="s">
        <v>13</v>
      </c>
      <c r="C63" s="6" t="s">
        <v>13</v>
      </c>
      <c r="D63" s="3">
        <v>5.0</v>
      </c>
      <c r="E63" s="12" t="s">
        <v>22</v>
      </c>
      <c r="F63" s="8">
        <v>45496.0</v>
      </c>
      <c r="G63" s="3" t="s">
        <v>113</v>
      </c>
      <c r="H63" s="3" t="s">
        <v>106</v>
      </c>
      <c r="I63" s="9" t="s">
        <v>229</v>
      </c>
      <c r="J63" s="3" t="s">
        <v>115</v>
      </c>
      <c r="K63" s="3" t="s">
        <v>161</v>
      </c>
      <c r="L63" s="16"/>
    </row>
    <row r="64" ht="62.25" customHeight="1">
      <c r="A64" s="5" t="s">
        <v>230</v>
      </c>
      <c r="B64" s="6" t="s">
        <v>76</v>
      </c>
      <c r="C64" s="6" t="s">
        <v>40</v>
      </c>
      <c r="D64" s="3">
        <v>4.0</v>
      </c>
      <c r="E64" s="12" t="s">
        <v>22</v>
      </c>
      <c r="F64" s="8">
        <v>45518.0</v>
      </c>
      <c r="G64" s="3" t="s">
        <v>231</v>
      </c>
      <c r="H64" s="3" t="s">
        <v>58</v>
      </c>
      <c r="I64" s="9" t="s">
        <v>232</v>
      </c>
      <c r="J64" s="3" t="s">
        <v>19</v>
      </c>
      <c r="K64" s="3" t="s">
        <v>233</v>
      </c>
      <c r="L64" s="16"/>
    </row>
    <row r="65" ht="54.0" customHeight="1">
      <c r="A65" s="5" t="s">
        <v>234</v>
      </c>
      <c r="B65" s="6" t="s">
        <v>13</v>
      </c>
      <c r="C65" s="6" t="s">
        <v>13</v>
      </c>
      <c r="D65" s="3">
        <v>4.0</v>
      </c>
      <c r="E65" s="12" t="s">
        <v>22</v>
      </c>
      <c r="F65" s="8">
        <v>45534.0</v>
      </c>
      <c r="G65" s="3" t="s">
        <v>235</v>
      </c>
      <c r="H65" s="3" t="s">
        <v>58</v>
      </c>
      <c r="I65" s="9"/>
      <c r="J65" s="3" t="s">
        <v>26</v>
      </c>
      <c r="K65" s="3" t="s">
        <v>161</v>
      </c>
      <c r="L65" s="16"/>
    </row>
    <row r="66" ht="45.75" customHeight="1">
      <c r="A66" s="5" t="s">
        <v>236</v>
      </c>
      <c r="B66" s="6" t="s">
        <v>40</v>
      </c>
      <c r="C66" s="6" t="s">
        <v>40</v>
      </c>
      <c r="D66" s="3">
        <v>5.0</v>
      </c>
      <c r="E66" s="12" t="s">
        <v>22</v>
      </c>
      <c r="F66" s="8">
        <v>45543.0</v>
      </c>
      <c r="G66" s="3" t="s">
        <v>235</v>
      </c>
      <c r="H66" s="3" t="s">
        <v>58</v>
      </c>
      <c r="I66" s="9"/>
      <c r="J66" s="3" t="s">
        <v>237</v>
      </c>
      <c r="K66" s="3" t="s">
        <v>161</v>
      </c>
      <c r="L66" s="16"/>
    </row>
    <row r="67" ht="52.5" customHeight="1">
      <c r="A67" s="5" t="s">
        <v>238</v>
      </c>
      <c r="B67" s="6" t="s">
        <v>40</v>
      </c>
      <c r="C67" s="6" t="s">
        <v>40</v>
      </c>
      <c r="D67" s="3">
        <v>5.0</v>
      </c>
      <c r="E67" s="12" t="s">
        <v>22</v>
      </c>
      <c r="F67" s="8">
        <v>45569.0</v>
      </c>
      <c r="G67" s="3" t="s">
        <v>208</v>
      </c>
      <c r="H67" s="3" t="s">
        <v>17</v>
      </c>
      <c r="I67" s="9" t="s">
        <v>239</v>
      </c>
      <c r="J67" s="3" t="s">
        <v>240</v>
      </c>
      <c r="K67" s="3" t="s">
        <v>161</v>
      </c>
      <c r="L67" s="16"/>
    </row>
    <row r="68" ht="72.75" customHeight="1">
      <c r="A68" s="5" t="s">
        <v>241</v>
      </c>
      <c r="B68" s="6" t="s">
        <v>76</v>
      </c>
      <c r="C68" s="6" t="s">
        <v>76</v>
      </c>
      <c r="D68" s="3">
        <v>5.0</v>
      </c>
      <c r="E68" s="12" t="s">
        <v>22</v>
      </c>
      <c r="F68" s="8">
        <v>45612.0</v>
      </c>
      <c r="G68" s="3" t="s">
        <v>208</v>
      </c>
      <c r="H68" s="3" t="s">
        <v>17</v>
      </c>
      <c r="I68" s="9" t="s">
        <v>242</v>
      </c>
      <c r="J68" s="3" t="s">
        <v>240</v>
      </c>
      <c r="K68" s="3" t="s">
        <v>161</v>
      </c>
      <c r="L68" s="16"/>
    </row>
    <row r="69" ht="70.5" customHeight="1">
      <c r="A69" s="5" t="s">
        <v>241</v>
      </c>
      <c r="B69" s="6" t="s">
        <v>76</v>
      </c>
      <c r="C69" s="6" t="s">
        <v>76</v>
      </c>
      <c r="D69" s="3">
        <v>5.0</v>
      </c>
      <c r="E69" s="12" t="s">
        <v>22</v>
      </c>
      <c r="F69" s="8">
        <v>45613.0</v>
      </c>
      <c r="G69" s="3" t="s">
        <v>208</v>
      </c>
      <c r="H69" s="3" t="s">
        <v>17</v>
      </c>
      <c r="I69" s="9" t="s">
        <v>243</v>
      </c>
      <c r="J69" s="3" t="s">
        <v>240</v>
      </c>
      <c r="K69" s="3" t="s">
        <v>161</v>
      </c>
      <c r="L69" s="16"/>
    </row>
    <row r="70" ht="72.75" customHeight="1">
      <c r="A70" s="5" t="s">
        <v>244</v>
      </c>
      <c r="B70" s="6" t="s">
        <v>40</v>
      </c>
      <c r="C70" s="6" t="s">
        <v>14</v>
      </c>
      <c r="D70" s="3">
        <v>1.0</v>
      </c>
      <c r="E70" s="12" t="s">
        <v>15</v>
      </c>
      <c r="F70" s="8">
        <v>45660.0</v>
      </c>
      <c r="G70" s="3" t="s">
        <v>203</v>
      </c>
      <c r="H70" s="3" t="s">
        <v>171</v>
      </c>
      <c r="I70" s="9" t="s">
        <v>245</v>
      </c>
      <c r="J70" s="3" t="s">
        <v>246</v>
      </c>
      <c r="K70" s="3" t="s">
        <v>161</v>
      </c>
      <c r="L70" s="4">
        <v>-3.0</v>
      </c>
    </row>
    <row r="71" ht="55.5" customHeight="1">
      <c r="A71" s="5" t="s">
        <v>247</v>
      </c>
      <c r="B71" s="6" t="s">
        <v>40</v>
      </c>
      <c r="C71" s="6" t="s">
        <v>13</v>
      </c>
      <c r="D71" s="3">
        <v>4.0</v>
      </c>
      <c r="E71" s="12" t="s">
        <v>22</v>
      </c>
      <c r="F71" s="8">
        <v>45661.0</v>
      </c>
      <c r="G71" s="3" t="s">
        <v>221</v>
      </c>
      <c r="H71" s="3" t="s">
        <v>58</v>
      </c>
      <c r="I71" s="9" t="s">
        <v>248</v>
      </c>
      <c r="J71" s="3" t="s">
        <v>19</v>
      </c>
      <c r="K71" s="3" t="s">
        <v>161</v>
      </c>
      <c r="L71" s="4">
        <v>3.0</v>
      </c>
    </row>
    <row r="72" ht="68.25" customHeight="1">
      <c r="A72" s="5" t="s">
        <v>249</v>
      </c>
      <c r="B72" s="6" t="s">
        <v>40</v>
      </c>
      <c r="C72" s="6" t="s">
        <v>13</v>
      </c>
      <c r="D72" s="3">
        <v>4.0</v>
      </c>
      <c r="E72" s="12" t="s">
        <v>22</v>
      </c>
      <c r="F72" s="8">
        <v>45663.0</v>
      </c>
      <c r="G72" s="3" t="s">
        <v>221</v>
      </c>
      <c r="H72" s="3" t="s">
        <v>58</v>
      </c>
      <c r="I72" s="9" t="s">
        <v>248</v>
      </c>
      <c r="J72" s="3" t="s">
        <v>19</v>
      </c>
      <c r="K72" s="3" t="s">
        <v>161</v>
      </c>
      <c r="L72" s="4">
        <v>3.0</v>
      </c>
    </row>
    <row r="73" ht="63.0" customHeight="1">
      <c r="A73" s="5" t="s">
        <v>250</v>
      </c>
      <c r="B73" s="6" t="s">
        <v>40</v>
      </c>
      <c r="C73" s="6" t="s">
        <v>40</v>
      </c>
      <c r="D73" s="3">
        <v>6.0</v>
      </c>
      <c r="E73" s="12" t="s">
        <v>22</v>
      </c>
      <c r="F73" s="8">
        <v>45663.0</v>
      </c>
      <c r="G73" s="3" t="s">
        <v>113</v>
      </c>
      <c r="H73" s="3" t="s">
        <v>58</v>
      </c>
      <c r="I73" s="9" t="s">
        <v>251</v>
      </c>
      <c r="J73" s="3" t="s">
        <v>19</v>
      </c>
      <c r="K73" s="3" t="s">
        <v>161</v>
      </c>
      <c r="L73" s="4">
        <v>7.0</v>
      </c>
    </row>
    <row r="74" ht="54.0" customHeight="1">
      <c r="A74" s="5" t="s">
        <v>250</v>
      </c>
      <c r="B74" s="6" t="s">
        <v>40</v>
      </c>
      <c r="C74" s="6" t="s">
        <v>40</v>
      </c>
      <c r="D74" s="3">
        <v>6.0</v>
      </c>
      <c r="E74" s="12" t="s">
        <v>22</v>
      </c>
      <c r="F74" s="8">
        <v>45668.0</v>
      </c>
      <c r="G74" s="3" t="s">
        <v>113</v>
      </c>
      <c r="H74" s="3" t="s">
        <v>29</v>
      </c>
      <c r="I74" s="9" t="s">
        <v>243</v>
      </c>
      <c r="J74" s="3" t="s">
        <v>19</v>
      </c>
      <c r="K74" s="3" t="s">
        <v>161</v>
      </c>
      <c r="L74" s="4">
        <v>7.0</v>
      </c>
    </row>
    <row r="75" ht="54.0" customHeight="1">
      <c r="A75" s="5" t="s">
        <v>249</v>
      </c>
      <c r="B75" s="6" t="s">
        <v>40</v>
      </c>
      <c r="C75" s="6" t="s">
        <v>14</v>
      </c>
      <c r="D75" s="3">
        <v>4.0</v>
      </c>
      <c r="E75" s="12" t="s">
        <v>22</v>
      </c>
      <c r="F75" s="8">
        <v>45668.0</v>
      </c>
      <c r="G75" s="3" t="s">
        <v>221</v>
      </c>
      <c r="H75" s="3" t="s">
        <v>252</v>
      </c>
      <c r="I75" s="9" t="s">
        <v>253</v>
      </c>
      <c r="J75" s="3" t="s">
        <v>19</v>
      </c>
      <c r="K75" s="3" t="s">
        <v>161</v>
      </c>
      <c r="L75" s="4">
        <v>3.0</v>
      </c>
    </row>
    <row r="76" ht="69.75" customHeight="1">
      <c r="A76" s="5" t="s">
        <v>254</v>
      </c>
      <c r="B76" s="6" t="s">
        <v>13</v>
      </c>
      <c r="C76" s="6" t="s">
        <v>13</v>
      </c>
      <c r="D76" s="3">
        <v>5.0</v>
      </c>
      <c r="E76" s="12" t="s">
        <v>22</v>
      </c>
      <c r="F76" s="8">
        <v>45674.0</v>
      </c>
      <c r="G76" s="3" t="s">
        <v>203</v>
      </c>
      <c r="H76" s="3" t="s">
        <v>255</v>
      </c>
      <c r="I76" s="9" t="s">
        <v>256</v>
      </c>
      <c r="J76" s="3" t="s">
        <v>19</v>
      </c>
      <c r="K76" s="3" t="s">
        <v>161</v>
      </c>
      <c r="L76" s="4">
        <v>2.0</v>
      </c>
    </row>
    <row r="77" ht="60.0" customHeight="1">
      <c r="A77" s="5" t="s">
        <v>257</v>
      </c>
      <c r="B77" s="6" t="s">
        <v>40</v>
      </c>
      <c r="C77" s="6" t="s">
        <v>40</v>
      </c>
      <c r="D77" s="3">
        <v>4.0</v>
      </c>
      <c r="E77" s="12" t="s">
        <v>22</v>
      </c>
      <c r="F77" s="8">
        <v>45682.0</v>
      </c>
      <c r="G77" s="3" t="s">
        <v>113</v>
      </c>
      <c r="H77" s="3" t="s">
        <v>29</v>
      </c>
      <c r="I77" s="9" t="s">
        <v>258</v>
      </c>
      <c r="J77" s="3" t="s">
        <v>246</v>
      </c>
      <c r="K77" s="3" t="s">
        <v>161</v>
      </c>
      <c r="L77" s="4">
        <v>8.0</v>
      </c>
    </row>
    <row r="78" ht="52.5" customHeight="1">
      <c r="A78" s="5" t="s">
        <v>259</v>
      </c>
      <c r="B78" s="6" t="s">
        <v>14</v>
      </c>
      <c r="C78" s="6" t="s">
        <v>13</v>
      </c>
      <c r="D78" s="3">
        <v>4.0</v>
      </c>
      <c r="E78" s="12" t="s">
        <v>22</v>
      </c>
      <c r="F78" s="8">
        <v>45689.0</v>
      </c>
      <c r="G78" s="3" t="s">
        <v>208</v>
      </c>
      <c r="H78" s="3" t="s">
        <v>260</v>
      </c>
      <c r="I78" s="9" t="s">
        <v>261</v>
      </c>
      <c r="J78" s="3" t="s">
        <v>262</v>
      </c>
      <c r="K78" s="3" t="s">
        <v>161</v>
      </c>
      <c r="L78" s="4">
        <v>0.0</v>
      </c>
    </row>
    <row r="79" ht="60.75" customHeight="1">
      <c r="A79" s="5" t="s">
        <v>263</v>
      </c>
      <c r="B79" s="6" t="s">
        <v>122</v>
      </c>
      <c r="C79" s="6" t="s">
        <v>14</v>
      </c>
      <c r="D79" s="3">
        <v>2.0</v>
      </c>
      <c r="E79" s="12" t="s">
        <v>22</v>
      </c>
      <c r="F79" s="8">
        <v>45689.0</v>
      </c>
      <c r="G79" s="3" t="s">
        <v>199</v>
      </c>
      <c r="H79" s="3" t="s">
        <v>264</v>
      </c>
      <c r="I79" s="9" t="s">
        <v>265</v>
      </c>
      <c r="J79" s="3" t="s">
        <v>262</v>
      </c>
      <c r="K79" s="3" t="s">
        <v>161</v>
      </c>
      <c r="L79" s="16">
        <f>2</f>
        <v>2</v>
      </c>
    </row>
    <row r="80" ht="68.25" customHeight="1">
      <c r="A80" s="5" t="s">
        <v>266</v>
      </c>
      <c r="B80" s="6" t="s">
        <v>267</v>
      </c>
      <c r="C80" s="6" t="s">
        <v>40</v>
      </c>
      <c r="D80" s="3">
        <v>4.0</v>
      </c>
      <c r="E80" s="12" t="s">
        <v>22</v>
      </c>
      <c r="F80" s="8">
        <v>45689.0</v>
      </c>
      <c r="G80" s="3" t="s">
        <v>113</v>
      </c>
      <c r="H80" s="3" t="s">
        <v>29</v>
      </c>
      <c r="I80" s="9" t="s">
        <v>258</v>
      </c>
      <c r="J80" s="3" t="s">
        <v>246</v>
      </c>
      <c r="K80" s="3" t="s">
        <v>161</v>
      </c>
      <c r="L80" s="16">
        <f>8</f>
        <v>8</v>
      </c>
    </row>
    <row r="81" ht="72.75" customHeight="1">
      <c r="A81" s="5" t="s">
        <v>268</v>
      </c>
      <c r="B81" s="6" t="s">
        <v>267</v>
      </c>
      <c r="C81" s="6" t="s">
        <v>267</v>
      </c>
      <c r="D81" s="3">
        <v>6.0</v>
      </c>
      <c r="E81" s="12" t="s">
        <v>22</v>
      </c>
      <c r="F81" s="8">
        <v>45700.0</v>
      </c>
      <c r="G81" s="3" t="s">
        <v>208</v>
      </c>
      <c r="H81" s="3" t="s">
        <v>269</v>
      </c>
      <c r="I81" s="9" t="s">
        <v>270</v>
      </c>
      <c r="J81" s="3" t="s">
        <v>262</v>
      </c>
      <c r="K81" s="3" t="s">
        <v>20</v>
      </c>
      <c r="L81" s="4">
        <v>8.0</v>
      </c>
    </row>
    <row r="82" ht="51.75" customHeight="1">
      <c r="A82" s="5" t="s">
        <v>271</v>
      </c>
      <c r="B82" s="6" t="s">
        <v>13</v>
      </c>
      <c r="C82" s="6" t="s">
        <v>13</v>
      </c>
      <c r="D82" s="3">
        <v>2.0</v>
      </c>
      <c r="E82" s="12" t="s">
        <v>22</v>
      </c>
      <c r="F82" s="8">
        <v>45765.0</v>
      </c>
      <c r="G82" s="3" t="s">
        <v>203</v>
      </c>
      <c r="H82" s="3" t="s">
        <v>255</v>
      </c>
      <c r="I82" s="9" t="s">
        <v>272</v>
      </c>
      <c r="J82" s="3" t="s">
        <v>19</v>
      </c>
      <c r="K82" s="3" t="s">
        <v>161</v>
      </c>
      <c r="L82" s="4">
        <v>5.0</v>
      </c>
    </row>
    <row r="83" ht="60.75" customHeight="1">
      <c r="A83" s="5" t="s">
        <v>273</v>
      </c>
      <c r="B83" s="6" t="s">
        <v>40</v>
      </c>
      <c r="C83" s="6" t="s">
        <v>40</v>
      </c>
      <c r="D83" s="3">
        <v>8.0</v>
      </c>
      <c r="E83" s="12" t="s">
        <v>22</v>
      </c>
      <c r="F83" s="8">
        <v>45765.0</v>
      </c>
      <c r="G83" s="3" t="s">
        <v>274</v>
      </c>
      <c r="H83" s="3" t="s">
        <v>58</v>
      </c>
      <c r="I83" s="9" t="s">
        <v>275</v>
      </c>
      <c r="J83" s="3" t="s">
        <v>19</v>
      </c>
      <c r="K83" s="3" t="s">
        <v>161</v>
      </c>
      <c r="L83" s="4">
        <v>5.0</v>
      </c>
    </row>
    <row r="84" ht="72.0" customHeight="1">
      <c r="A84" s="5" t="s">
        <v>276</v>
      </c>
      <c r="B84" s="6" t="s">
        <v>13</v>
      </c>
      <c r="C84" s="6" t="s">
        <v>13</v>
      </c>
      <c r="D84" s="3">
        <v>1.0</v>
      </c>
      <c r="E84" s="12" t="s">
        <v>15</v>
      </c>
      <c r="F84" s="8">
        <v>45787.0</v>
      </c>
      <c r="G84" s="3" t="s">
        <v>203</v>
      </c>
      <c r="H84" s="3" t="s">
        <v>277</v>
      </c>
      <c r="I84" s="9"/>
      <c r="J84" s="3" t="s">
        <v>278</v>
      </c>
      <c r="K84" s="3" t="s">
        <v>161</v>
      </c>
      <c r="L84" s="4">
        <v>4.0</v>
      </c>
    </row>
    <row r="85" ht="80.25" customHeight="1">
      <c r="A85" s="5" t="s">
        <v>279</v>
      </c>
      <c r="B85" s="6" t="s">
        <v>14</v>
      </c>
      <c r="C85" s="6" t="s">
        <v>81</v>
      </c>
      <c r="D85" s="3">
        <v>1.0</v>
      </c>
      <c r="E85" s="12" t="s">
        <v>15</v>
      </c>
      <c r="F85" s="8">
        <v>45817.0</v>
      </c>
      <c r="G85" s="3" t="s">
        <v>280</v>
      </c>
      <c r="H85" s="3" t="s">
        <v>164</v>
      </c>
      <c r="I85" s="9" t="s">
        <v>281</v>
      </c>
      <c r="J85" s="3" t="s">
        <v>282</v>
      </c>
      <c r="K85" s="3" t="s">
        <v>161</v>
      </c>
      <c r="L85" s="4">
        <v>6.0</v>
      </c>
    </row>
    <row r="86" ht="62.25" customHeight="1">
      <c r="A86" s="5" t="s">
        <v>283</v>
      </c>
      <c r="B86" s="6" t="s">
        <v>13</v>
      </c>
      <c r="C86" s="6" t="s">
        <v>13</v>
      </c>
      <c r="D86" s="3">
        <v>3.0</v>
      </c>
      <c r="E86" s="12" t="s">
        <v>22</v>
      </c>
      <c r="F86" s="8">
        <v>45824.0</v>
      </c>
      <c r="G86" s="3" t="s">
        <v>280</v>
      </c>
      <c r="H86" s="3" t="s">
        <v>164</v>
      </c>
      <c r="I86" s="9"/>
      <c r="J86" s="3" t="s">
        <v>282</v>
      </c>
      <c r="K86" s="3" t="s">
        <v>161</v>
      </c>
      <c r="L86" s="4">
        <v>6.0</v>
      </c>
    </row>
    <row r="87" ht="66.0" customHeight="1">
      <c r="A87" s="5" t="s">
        <v>284</v>
      </c>
      <c r="B87" s="6" t="s">
        <v>40</v>
      </c>
      <c r="C87" s="6" t="s">
        <v>40</v>
      </c>
      <c r="D87" s="3">
        <v>2.0</v>
      </c>
      <c r="E87" s="12" t="s">
        <v>22</v>
      </c>
      <c r="F87" s="8">
        <v>45828.0</v>
      </c>
      <c r="G87" s="3" t="s">
        <v>29</v>
      </c>
      <c r="H87" s="3" t="s">
        <v>29</v>
      </c>
      <c r="I87" s="9"/>
      <c r="J87" s="3" t="s">
        <v>282</v>
      </c>
      <c r="K87" s="3" t="s">
        <v>161</v>
      </c>
      <c r="L87" s="4">
        <v>4.0</v>
      </c>
    </row>
    <row r="88" ht="61.5" customHeight="1">
      <c r="A88" s="5" t="s">
        <v>285</v>
      </c>
      <c r="B88" s="6" t="s">
        <v>286</v>
      </c>
      <c r="C88" s="6" t="s">
        <v>286</v>
      </c>
      <c r="D88" s="3">
        <v>13.0</v>
      </c>
      <c r="E88" s="12" t="s">
        <v>22</v>
      </c>
      <c r="F88" s="8">
        <v>45840.0</v>
      </c>
      <c r="G88" s="3" t="s">
        <v>29</v>
      </c>
      <c r="H88" s="3" t="s">
        <v>29</v>
      </c>
      <c r="I88" s="9" t="s">
        <v>287</v>
      </c>
      <c r="J88" s="3" t="s">
        <v>246</v>
      </c>
      <c r="K88" s="3" t="s">
        <v>161</v>
      </c>
      <c r="L88" s="4">
        <v>6.0</v>
      </c>
    </row>
    <row r="89" ht="61.5" customHeight="1">
      <c r="A89" s="5" t="s">
        <v>288</v>
      </c>
      <c r="B89" s="6" t="s">
        <v>267</v>
      </c>
      <c r="C89" s="6" t="s">
        <v>267</v>
      </c>
      <c r="D89" s="3">
        <v>4.0</v>
      </c>
      <c r="E89" s="12" t="s">
        <v>22</v>
      </c>
      <c r="F89" s="8">
        <v>45841.0</v>
      </c>
      <c r="G89" s="3" t="s">
        <v>29</v>
      </c>
      <c r="H89" s="3" t="s">
        <v>29</v>
      </c>
      <c r="I89" s="9" t="s">
        <v>289</v>
      </c>
      <c r="J89" s="3" t="s">
        <v>246</v>
      </c>
      <c r="K89" s="3" t="s">
        <v>161</v>
      </c>
      <c r="L89" s="4">
        <v>5.0</v>
      </c>
    </row>
    <row r="90" ht="58.5" customHeight="1">
      <c r="A90" s="5" t="s">
        <v>290</v>
      </c>
      <c r="B90" s="6" t="s">
        <v>13</v>
      </c>
      <c r="C90" s="6" t="s">
        <v>13</v>
      </c>
      <c r="D90" s="3">
        <v>1.0</v>
      </c>
      <c r="E90" s="12" t="s">
        <v>15</v>
      </c>
      <c r="F90" s="8">
        <v>45854.0</v>
      </c>
      <c r="G90" s="3" t="s">
        <v>291</v>
      </c>
      <c r="H90" s="3" t="s">
        <v>291</v>
      </c>
      <c r="I90" s="9" t="s">
        <v>292</v>
      </c>
      <c r="J90" s="3" t="s">
        <v>246</v>
      </c>
      <c r="K90" s="3" t="s">
        <v>293</v>
      </c>
      <c r="L90" s="4">
        <v>2.0</v>
      </c>
    </row>
    <row r="91" ht="45.75" customHeight="1">
      <c r="A91" s="5" t="s">
        <v>294</v>
      </c>
      <c r="B91" s="6" t="s">
        <v>13</v>
      </c>
      <c r="C91" s="6" t="s">
        <v>13</v>
      </c>
      <c r="D91" s="3">
        <v>2.0</v>
      </c>
      <c r="E91" s="12" t="s">
        <v>22</v>
      </c>
      <c r="F91" s="8">
        <v>45889.0</v>
      </c>
      <c r="G91" s="3" t="s">
        <v>291</v>
      </c>
      <c r="H91" s="3" t="s">
        <v>291</v>
      </c>
      <c r="I91" s="9"/>
      <c r="J91" s="3" t="s">
        <v>295</v>
      </c>
      <c r="K91" s="3" t="s">
        <v>161</v>
      </c>
      <c r="L91" s="4">
        <v>4.0</v>
      </c>
    </row>
    <row r="92" ht="62.25" customHeight="1">
      <c r="A92" s="5" t="s">
        <v>296</v>
      </c>
      <c r="B92" s="6" t="s">
        <v>40</v>
      </c>
      <c r="C92" s="6" t="s">
        <v>40</v>
      </c>
      <c r="D92" s="3">
        <v>1.0</v>
      </c>
      <c r="E92" s="12" t="s">
        <v>159</v>
      </c>
      <c r="F92" s="8">
        <v>45906.0</v>
      </c>
      <c r="G92" s="3" t="s">
        <v>199</v>
      </c>
      <c r="H92" s="3" t="s">
        <v>297</v>
      </c>
      <c r="I92" s="9" t="s">
        <v>298</v>
      </c>
      <c r="J92" s="3" t="s">
        <v>19</v>
      </c>
      <c r="K92" s="3" t="s">
        <v>161</v>
      </c>
      <c r="L92" s="4">
        <v>6.0</v>
      </c>
    </row>
    <row r="93" ht="58.5" customHeight="1">
      <c r="A93" s="5" t="s">
        <v>299</v>
      </c>
      <c r="B93" s="6" t="s">
        <v>122</v>
      </c>
      <c r="C93" s="6" t="s">
        <v>122</v>
      </c>
      <c r="D93" s="3">
        <v>2.0</v>
      </c>
      <c r="E93" s="12" t="s">
        <v>22</v>
      </c>
      <c r="F93" s="8">
        <v>45908.0</v>
      </c>
      <c r="G93" s="3" t="s">
        <v>16</v>
      </c>
      <c r="H93" s="3" t="s">
        <v>300</v>
      </c>
      <c r="I93" s="9" t="s">
        <v>301</v>
      </c>
      <c r="J93" s="3" t="s">
        <v>19</v>
      </c>
      <c r="K93" s="3" t="s">
        <v>161</v>
      </c>
      <c r="L93" s="4">
        <v>6.0</v>
      </c>
    </row>
    <row r="94" ht="65.25" customHeight="1">
      <c r="A94" s="5" t="s">
        <v>302</v>
      </c>
      <c r="B94" s="6" t="s">
        <v>14</v>
      </c>
      <c r="C94" s="6" t="s">
        <v>14</v>
      </c>
      <c r="D94" s="3">
        <v>1.0</v>
      </c>
      <c r="E94" s="12" t="s">
        <v>15</v>
      </c>
      <c r="F94" s="8">
        <v>45924.0</v>
      </c>
      <c r="G94" s="3" t="s">
        <v>188</v>
      </c>
      <c r="H94" s="3" t="s">
        <v>303</v>
      </c>
      <c r="I94" s="9"/>
      <c r="J94" s="3" t="s">
        <v>19</v>
      </c>
      <c r="K94" s="3" t="s">
        <v>161</v>
      </c>
      <c r="L94" s="4">
        <v>5.0</v>
      </c>
    </row>
    <row r="95" ht="66.0" customHeight="1">
      <c r="A95" s="5" t="s">
        <v>302</v>
      </c>
      <c r="B95" s="6" t="s">
        <v>40</v>
      </c>
      <c r="C95" s="6" t="s">
        <v>40</v>
      </c>
      <c r="D95" s="3">
        <v>2.0</v>
      </c>
      <c r="E95" s="12" t="s">
        <v>22</v>
      </c>
      <c r="F95" s="8">
        <v>45927.0</v>
      </c>
      <c r="G95" s="3" t="s">
        <v>188</v>
      </c>
      <c r="H95" s="3" t="s">
        <v>303</v>
      </c>
      <c r="I95" s="9" t="s">
        <v>304</v>
      </c>
      <c r="J95" s="3" t="s">
        <v>19</v>
      </c>
      <c r="K95" s="3" t="s">
        <v>20</v>
      </c>
      <c r="L95" s="4">
        <v>8.0</v>
      </c>
    </row>
    <row r="96" ht="65.25" customHeight="1">
      <c r="A96" s="5" t="s">
        <v>305</v>
      </c>
      <c r="B96" s="6" t="s">
        <v>13</v>
      </c>
      <c r="C96" s="6" t="s">
        <v>28</v>
      </c>
      <c r="D96" s="3">
        <v>1.0</v>
      </c>
      <c r="E96" s="12" t="s">
        <v>15</v>
      </c>
      <c r="F96" s="8">
        <v>45929.0</v>
      </c>
      <c r="G96" s="3" t="s">
        <v>188</v>
      </c>
      <c r="H96" s="3" t="s">
        <v>303</v>
      </c>
      <c r="I96" s="9" t="s">
        <v>306</v>
      </c>
      <c r="J96" s="3" t="s">
        <v>19</v>
      </c>
      <c r="K96" s="3" t="s">
        <v>161</v>
      </c>
      <c r="L96" s="4">
        <v>2.0</v>
      </c>
    </row>
    <row r="97" ht="54.0" customHeight="1">
      <c r="A97" s="5" t="s">
        <v>307</v>
      </c>
      <c r="B97" s="6" t="s">
        <v>13</v>
      </c>
      <c r="C97" s="6" t="s">
        <v>13</v>
      </c>
      <c r="D97" s="3">
        <v>1.0</v>
      </c>
      <c r="E97" s="12" t="s">
        <v>15</v>
      </c>
      <c r="F97" s="8">
        <v>45929.0</v>
      </c>
      <c r="G97" s="3" t="s">
        <v>188</v>
      </c>
      <c r="H97" s="3" t="s">
        <v>303</v>
      </c>
      <c r="I97" s="9" t="s">
        <v>306</v>
      </c>
      <c r="J97" s="3" t="s">
        <v>19</v>
      </c>
      <c r="K97" s="3" t="s">
        <v>161</v>
      </c>
      <c r="L97" s="4">
        <v>2.0</v>
      </c>
    </row>
    <row r="98" ht="71.25" customHeight="1">
      <c r="A98" s="5" t="s">
        <v>308</v>
      </c>
      <c r="B98" s="6" t="s">
        <v>40</v>
      </c>
      <c r="C98" s="6" t="s">
        <v>40</v>
      </c>
      <c r="D98" s="3">
        <v>2.0</v>
      </c>
      <c r="E98" s="12" t="s">
        <v>22</v>
      </c>
      <c r="F98" s="8">
        <v>45931.0</v>
      </c>
      <c r="G98" s="3" t="s">
        <v>188</v>
      </c>
      <c r="H98" s="3" t="s">
        <v>303</v>
      </c>
      <c r="I98" s="9" t="s">
        <v>309</v>
      </c>
      <c r="J98" s="3" t="s">
        <v>19</v>
      </c>
      <c r="K98" s="3" t="s">
        <v>161</v>
      </c>
      <c r="L98" s="4">
        <v>8.0</v>
      </c>
    </row>
    <row r="99" ht="43.5" customHeight="1">
      <c r="A99" s="5" t="s">
        <v>310</v>
      </c>
      <c r="B99" s="6" t="s">
        <v>13</v>
      </c>
      <c r="C99" s="6" t="s">
        <v>13</v>
      </c>
      <c r="D99" s="3">
        <v>2.0</v>
      </c>
      <c r="E99" s="12" t="s">
        <v>22</v>
      </c>
      <c r="F99" s="8">
        <v>45931.0</v>
      </c>
      <c r="G99" s="3" t="s">
        <v>188</v>
      </c>
      <c r="H99" s="3" t="s">
        <v>303</v>
      </c>
      <c r="I99" s="9" t="s">
        <v>306</v>
      </c>
      <c r="J99" s="3" t="s">
        <v>19</v>
      </c>
      <c r="K99" s="3" t="s">
        <v>161</v>
      </c>
      <c r="L99" s="4">
        <v>5.0</v>
      </c>
    </row>
    <row r="100" ht="49.5" customHeight="1">
      <c r="A100" s="5" t="s">
        <v>311</v>
      </c>
      <c r="B100" s="6" t="s">
        <v>122</v>
      </c>
      <c r="C100" s="6" t="s">
        <v>122</v>
      </c>
      <c r="D100" s="3">
        <v>6.0</v>
      </c>
      <c r="E100" s="12" t="s">
        <v>22</v>
      </c>
      <c r="F100" s="8">
        <v>45943.0</v>
      </c>
      <c r="G100" s="3" t="s">
        <v>188</v>
      </c>
      <c r="H100" s="3" t="s">
        <v>303</v>
      </c>
      <c r="I100" s="9" t="s">
        <v>312</v>
      </c>
      <c r="J100" s="3" t="s">
        <v>19</v>
      </c>
      <c r="K100" s="3" t="s">
        <v>161</v>
      </c>
      <c r="L100" s="4">
        <v>8.0</v>
      </c>
    </row>
    <row r="101" ht="46.5" customHeight="1">
      <c r="A101" s="5" t="s">
        <v>311</v>
      </c>
      <c r="B101" s="6" t="s">
        <v>40</v>
      </c>
      <c r="C101" s="6" t="s">
        <v>40</v>
      </c>
      <c r="D101" s="3">
        <v>7.0</v>
      </c>
      <c r="E101" s="12" t="s">
        <v>22</v>
      </c>
      <c r="F101" s="8">
        <v>45943.0</v>
      </c>
      <c r="G101" s="3" t="s">
        <v>188</v>
      </c>
      <c r="H101" s="3" t="s">
        <v>303</v>
      </c>
      <c r="I101" s="9" t="s">
        <v>313</v>
      </c>
      <c r="J101" s="3" t="s">
        <v>19</v>
      </c>
      <c r="K101" s="3" t="s">
        <v>161</v>
      </c>
      <c r="L101" s="4">
        <v>8.0</v>
      </c>
    </row>
    <row r="102" ht="48.0" customHeight="1">
      <c r="A102" s="5" t="s">
        <v>311</v>
      </c>
      <c r="B102" s="6" t="s">
        <v>267</v>
      </c>
      <c r="C102" s="6" t="s">
        <v>267</v>
      </c>
      <c r="D102" s="3">
        <v>8.0</v>
      </c>
      <c r="E102" s="12" t="s">
        <v>22</v>
      </c>
      <c r="F102" s="8">
        <v>45961.0</v>
      </c>
      <c r="G102" s="3" t="s">
        <v>188</v>
      </c>
      <c r="H102" s="3" t="s">
        <v>303</v>
      </c>
      <c r="I102" s="9" t="s">
        <v>314</v>
      </c>
      <c r="J102" s="3" t="s">
        <v>19</v>
      </c>
      <c r="K102" s="3" t="s">
        <v>161</v>
      </c>
      <c r="L102" s="4">
        <v>8.0</v>
      </c>
    </row>
    <row r="103" ht="36.75" customHeight="1">
      <c r="A103" s="5" t="s">
        <v>315</v>
      </c>
      <c r="B103" s="6" t="s">
        <v>13</v>
      </c>
      <c r="C103" s="6" t="s">
        <v>13</v>
      </c>
      <c r="D103" s="3">
        <v>2.0</v>
      </c>
      <c r="E103" s="12" t="s">
        <v>22</v>
      </c>
      <c r="F103" s="8">
        <v>46015.0</v>
      </c>
      <c r="G103" s="3" t="s">
        <v>29</v>
      </c>
      <c r="H103" s="3" t="s">
        <v>303</v>
      </c>
      <c r="I103" s="9"/>
      <c r="J103" s="3" t="s">
        <v>316</v>
      </c>
      <c r="K103" s="3" t="s">
        <v>161</v>
      </c>
      <c r="L103" s="4">
        <v>5.0</v>
      </c>
    </row>
    <row r="104" ht="36.0" customHeight="1">
      <c r="A104" s="5" t="s">
        <v>317</v>
      </c>
      <c r="B104" s="6" t="s">
        <v>14</v>
      </c>
      <c r="C104" s="6" t="s">
        <v>14</v>
      </c>
      <c r="D104" s="3">
        <v>1.0</v>
      </c>
      <c r="E104" s="12" t="s">
        <v>15</v>
      </c>
      <c r="F104" s="8">
        <v>46016.0</v>
      </c>
      <c r="G104" s="3" t="s">
        <v>29</v>
      </c>
      <c r="H104" s="3" t="s">
        <v>303</v>
      </c>
      <c r="I104" s="9"/>
      <c r="J104" s="3" t="s">
        <v>316</v>
      </c>
      <c r="K104" s="3" t="s">
        <v>161</v>
      </c>
      <c r="L104" s="4">
        <v>7.0</v>
      </c>
    </row>
    <row r="105" ht="30.75" customHeight="1">
      <c r="A105" s="5" t="s">
        <v>318</v>
      </c>
      <c r="B105" s="6" t="s">
        <v>14</v>
      </c>
      <c r="C105" s="6" t="s">
        <v>14</v>
      </c>
      <c r="D105" s="3">
        <v>1.0</v>
      </c>
      <c r="E105" s="12" t="s">
        <v>15</v>
      </c>
      <c r="F105" s="8">
        <v>46013.0</v>
      </c>
      <c r="G105" s="3" t="s">
        <v>203</v>
      </c>
      <c r="H105" s="3" t="s">
        <v>106</v>
      </c>
      <c r="I105" s="9"/>
      <c r="J105" s="3" t="s">
        <v>316</v>
      </c>
      <c r="K105" s="3" t="s">
        <v>161</v>
      </c>
      <c r="L105" s="4">
        <v>5.0</v>
      </c>
    </row>
    <row r="106" ht="47.25" customHeight="1">
      <c r="A106" s="5" t="s">
        <v>319</v>
      </c>
      <c r="B106" s="6" t="s">
        <v>122</v>
      </c>
      <c r="C106" s="6" t="s">
        <v>122</v>
      </c>
      <c r="D106" s="3">
        <v>6.0</v>
      </c>
      <c r="E106" s="12" t="s">
        <v>22</v>
      </c>
      <c r="F106" s="8">
        <v>46029.0</v>
      </c>
      <c r="G106" s="3" t="s">
        <v>113</v>
      </c>
      <c r="H106" s="3" t="s">
        <v>303</v>
      </c>
      <c r="I106" s="9" t="s">
        <v>320</v>
      </c>
      <c r="J106" s="3" t="s">
        <v>278</v>
      </c>
      <c r="K106" s="3" t="s">
        <v>161</v>
      </c>
      <c r="L106" s="4">
        <v>7.0</v>
      </c>
    </row>
    <row r="107" ht="45.0" customHeight="1">
      <c r="A107" s="5" t="s">
        <v>321</v>
      </c>
      <c r="B107" s="6" t="s">
        <v>13</v>
      </c>
      <c r="C107" s="6" t="s">
        <v>14</v>
      </c>
      <c r="D107" s="3">
        <v>1.0</v>
      </c>
      <c r="E107" s="12" t="s">
        <v>15</v>
      </c>
      <c r="F107" s="8">
        <v>46071.0</v>
      </c>
      <c r="G107" s="3" t="s">
        <v>199</v>
      </c>
      <c r="H107" s="3" t="s">
        <v>303</v>
      </c>
      <c r="I107" s="9"/>
      <c r="J107" s="3" t="s">
        <v>278</v>
      </c>
      <c r="K107" s="3" t="s">
        <v>322</v>
      </c>
      <c r="L107" s="4">
        <v>7.0</v>
      </c>
    </row>
    <row r="108" ht="45.0" customHeight="1">
      <c r="A108" s="5" t="s">
        <v>323</v>
      </c>
      <c r="B108" s="6" t="s">
        <v>122</v>
      </c>
      <c r="C108" s="6" t="s">
        <v>122</v>
      </c>
      <c r="D108" s="3">
        <v>5.0</v>
      </c>
      <c r="E108" s="12" t="s">
        <v>22</v>
      </c>
      <c r="F108" s="8">
        <v>46090.0</v>
      </c>
      <c r="G108" s="3" t="s">
        <v>199</v>
      </c>
      <c r="H108" s="3" t="s">
        <v>106</v>
      </c>
      <c r="I108" s="9" t="s">
        <v>324</v>
      </c>
      <c r="J108" s="3" t="s">
        <v>278</v>
      </c>
      <c r="K108" s="3" t="s">
        <v>293</v>
      </c>
      <c r="L108" s="4">
        <v>7.0</v>
      </c>
    </row>
    <row r="109" ht="61.5" customHeight="1">
      <c r="A109" s="5" t="s">
        <v>325</v>
      </c>
      <c r="B109" s="6" t="s">
        <v>122</v>
      </c>
      <c r="C109" s="6" t="s">
        <v>122</v>
      </c>
      <c r="D109" s="3">
        <v>2.0</v>
      </c>
      <c r="E109" s="12" t="s">
        <v>22</v>
      </c>
      <c r="F109" s="8">
        <v>46094.0</v>
      </c>
      <c r="G109" s="3" t="s">
        <v>326</v>
      </c>
      <c r="H109" s="3" t="s">
        <v>326</v>
      </c>
      <c r="I109" s="9" t="s">
        <v>327</v>
      </c>
      <c r="J109" s="3" t="s">
        <v>19</v>
      </c>
      <c r="K109" s="3" t="s">
        <v>322</v>
      </c>
      <c r="L109" s="4">
        <v>9.0</v>
      </c>
    </row>
    <row r="110" ht="70.5" customHeight="1">
      <c r="A110" s="5" t="s">
        <v>328</v>
      </c>
      <c r="B110" s="6" t="s">
        <v>40</v>
      </c>
      <c r="C110" s="6" t="s">
        <v>13</v>
      </c>
      <c r="D110" s="3">
        <v>1.0</v>
      </c>
      <c r="E110" s="12" t="s">
        <v>15</v>
      </c>
      <c r="F110" s="8">
        <v>46104.0</v>
      </c>
      <c r="G110" s="3" t="s">
        <v>326</v>
      </c>
      <c r="H110" s="3" t="s">
        <v>326</v>
      </c>
      <c r="I110" s="9" t="s">
        <v>329</v>
      </c>
      <c r="J110" s="3" t="s">
        <v>19</v>
      </c>
      <c r="K110" s="3" t="s">
        <v>322</v>
      </c>
      <c r="L110" s="4">
        <v>7.0</v>
      </c>
    </row>
    <row r="111" ht="56.25" customHeight="1">
      <c r="A111" s="5" t="s">
        <v>330</v>
      </c>
      <c r="B111" s="6" t="s">
        <v>13</v>
      </c>
      <c r="C111" s="6" t="s">
        <v>13</v>
      </c>
      <c r="D111" s="3">
        <v>1.0</v>
      </c>
      <c r="E111" s="12" t="s">
        <v>15</v>
      </c>
      <c r="F111" s="8">
        <v>46106.0</v>
      </c>
      <c r="G111" s="3" t="s">
        <v>326</v>
      </c>
      <c r="H111" s="3" t="s">
        <v>326</v>
      </c>
      <c r="I111" s="9"/>
      <c r="J111" s="3" t="s">
        <v>19</v>
      </c>
      <c r="K111" s="3" t="s">
        <v>322</v>
      </c>
      <c r="L111" s="4">
        <v>5.0</v>
      </c>
    </row>
    <row r="112" ht="52.5" customHeight="1">
      <c r="A112" s="5" t="s">
        <v>331</v>
      </c>
      <c r="B112" s="6" t="s">
        <v>14</v>
      </c>
      <c r="C112" s="6" t="s">
        <v>14</v>
      </c>
      <c r="D112" s="3">
        <v>1.0</v>
      </c>
      <c r="E112" s="12" t="s">
        <v>15</v>
      </c>
      <c r="F112" s="8">
        <v>46125.0</v>
      </c>
      <c r="G112" s="3" t="s">
        <v>203</v>
      </c>
      <c r="H112" s="3" t="s">
        <v>332</v>
      </c>
      <c r="I112" s="9" t="s">
        <v>333</v>
      </c>
      <c r="J112" s="3" t="s">
        <v>316</v>
      </c>
      <c r="K112" s="3" t="s">
        <v>161</v>
      </c>
      <c r="L112" s="4">
        <v>3.0</v>
      </c>
    </row>
    <row r="113" ht="45.75" customHeight="1">
      <c r="A113" s="5" t="s">
        <v>328</v>
      </c>
      <c r="B113" s="6" t="s">
        <v>40</v>
      </c>
      <c r="C113" s="6" t="s">
        <v>13</v>
      </c>
      <c r="D113" s="3">
        <v>0.0</v>
      </c>
      <c r="E113" s="12" t="s">
        <v>334</v>
      </c>
      <c r="F113" s="8">
        <v>46132.0</v>
      </c>
      <c r="G113" s="3" t="s">
        <v>326</v>
      </c>
      <c r="H113" s="3" t="s">
        <v>326</v>
      </c>
      <c r="I113" s="9" t="s">
        <v>335</v>
      </c>
      <c r="J113" s="3" t="s">
        <v>19</v>
      </c>
      <c r="K113" s="3" t="s">
        <v>161</v>
      </c>
      <c r="L113" s="4">
        <v>7.0</v>
      </c>
    </row>
    <row r="114" ht="51.0" customHeight="1">
      <c r="A114" s="5" t="s">
        <v>336</v>
      </c>
      <c r="B114" s="6" t="s">
        <v>76</v>
      </c>
      <c r="C114" s="6" t="s">
        <v>76</v>
      </c>
      <c r="D114" s="3">
        <v>4.0</v>
      </c>
      <c r="E114" s="12" t="s">
        <v>22</v>
      </c>
      <c r="F114" s="8">
        <v>46135.0</v>
      </c>
      <c r="G114" s="3" t="s">
        <v>326</v>
      </c>
      <c r="H114" s="3" t="s">
        <v>326</v>
      </c>
      <c r="I114" s="9" t="s">
        <v>337</v>
      </c>
      <c r="J114" s="3" t="s">
        <v>19</v>
      </c>
      <c r="K114" s="3" t="s">
        <v>161</v>
      </c>
      <c r="L114" s="4">
        <v>7.0</v>
      </c>
    </row>
    <row r="115" ht="51.75" customHeight="1">
      <c r="A115" s="5" t="s">
        <v>338</v>
      </c>
      <c r="B115" s="6" t="s">
        <v>40</v>
      </c>
      <c r="C115" s="6" t="s">
        <v>40</v>
      </c>
      <c r="D115" s="3">
        <v>4.0</v>
      </c>
      <c r="E115" s="12" t="s">
        <v>22</v>
      </c>
      <c r="F115" s="8">
        <v>46139.0</v>
      </c>
      <c r="G115" s="3" t="s">
        <v>326</v>
      </c>
      <c r="H115" s="3" t="s">
        <v>326</v>
      </c>
      <c r="I115" s="9" t="s">
        <v>339</v>
      </c>
      <c r="J115" s="3" t="s">
        <v>19</v>
      </c>
      <c r="K115" s="3" t="s">
        <v>161</v>
      </c>
      <c r="L115" s="4">
        <v>4.0</v>
      </c>
    </row>
    <row r="116" ht="51.0" customHeight="1">
      <c r="A116" s="5" t="s">
        <v>340</v>
      </c>
      <c r="B116" s="6" t="s">
        <v>122</v>
      </c>
      <c r="C116" s="6" t="s">
        <v>122</v>
      </c>
      <c r="D116" s="3">
        <v>5.0</v>
      </c>
      <c r="E116" s="12" t="s">
        <v>22</v>
      </c>
      <c r="F116" s="8">
        <v>46144.0</v>
      </c>
      <c r="G116" s="3" t="s">
        <v>326</v>
      </c>
      <c r="H116" s="3" t="s">
        <v>326</v>
      </c>
      <c r="I116" s="9" t="s">
        <v>341</v>
      </c>
      <c r="J116" s="3" t="s">
        <v>19</v>
      </c>
      <c r="K116" s="3" t="s">
        <v>161</v>
      </c>
      <c r="L116" s="4">
        <v>6.0</v>
      </c>
    </row>
    <row r="117" ht="55.5" customHeight="1">
      <c r="A117" s="5" t="s">
        <v>342</v>
      </c>
      <c r="B117" s="6" t="s">
        <v>122</v>
      </c>
      <c r="C117" s="6" t="s">
        <v>122</v>
      </c>
      <c r="D117" s="3">
        <v>6.0</v>
      </c>
      <c r="E117" s="12" t="s">
        <v>22</v>
      </c>
      <c r="F117" s="8">
        <v>46148.0</v>
      </c>
      <c r="G117" s="3" t="s">
        <v>326</v>
      </c>
      <c r="H117" s="3" t="s">
        <v>326</v>
      </c>
      <c r="I117" s="9" t="s">
        <v>343</v>
      </c>
      <c r="J117" s="3" t="s">
        <v>19</v>
      </c>
      <c r="K117" s="3" t="s">
        <v>161</v>
      </c>
      <c r="L117" s="4">
        <v>4.0</v>
      </c>
    </row>
    <row r="118" ht="73.5" customHeight="1">
      <c r="A118" s="5" t="s">
        <v>344</v>
      </c>
      <c r="B118" s="6" t="s">
        <v>267</v>
      </c>
      <c r="C118" s="6" t="s">
        <v>267</v>
      </c>
      <c r="D118" s="3">
        <v>5.0</v>
      </c>
      <c r="E118" s="12" t="s">
        <v>22</v>
      </c>
      <c r="F118" s="8">
        <v>46155.0</v>
      </c>
      <c r="G118" s="3" t="s">
        <v>326</v>
      </c>
      <c r="H118" s="3" t="s">
        <v>326</v>
      </c>
      <c r="I118" s="9" t="s">
        <v>345</v>
      </c>
      <c r="J118" s="3" t="s">
        <v>278</v>
      </c>
      <c r="K118" s="3" t="s">
        <v>161</v>
      </c>
      <c r="L118" s="4">
        <v>7.0</v>
      </c>
    </row>
    <row r="119" ht="80.25" customHeight="1">
      <c r="A119" s="5" t="s">
        <v>346</v>
      </c>
      <c r="B119" s="6" t="s">
        <v>13</v>
      </c>
      <c r="C119" s="6" t="s">
        <v>13</v>
      </c>
      <c r="D119" s="3">
        <v>2.0</v>
      </c>
      <c r="E119" s="12" t="s">
        <v>22</v>
      </c>
      <c r="F119" s="8">
        <v>46160.0</v>
      </c>
      <c r="G119" s="3" t="s">
        <v>164</v>
      </c>
      <c r="H119" s="3" t="s">
        <v>164</v>
      </c>
      <c r="I119" s="9" t="s">
        <v>347</v>
      </c>
      <c r="J119" s="3" t="s">
        <v>348</v>
      </c>
      <c r="K119" s="3" t="s">
        <v>161</v>
      </c>
      <c r="L119" s="4">
        <v>6.0</v>
      </c>
    </row>
    <row r="120" ht="70.5" customHeight="1">
      <c r="A120" s="5" t="s">
        <v>349</v>
      </c>
      <c r="B120" s="6" t="s">
        <v>40</v>
      </c>
      <c r="C120" s="6" t="s">
        <v>13</v>
      </c>
      <c r="D120" s="3">
        <v>2.0</v>
      </c>
      <c r="E120" s="12" t="s">
        <v>22</v>
      </c>
      <c r="F120" s="8">
        <v>46186.0</v>
      </c>
      <c r="G120" s="3" t="s">
        <v>29</v>
      </c>
      <c r="H120" s="3" t="s">
        <v>29</v>
      </c>
      <c r="I120" s="9" t="s">
        <v>350</v>
      </c>
      <c r="J120" s="3" t="s">
        <v>351</v>
      </c>
      <c r="K120" s="3" t="s">
        <v>161</v>
      </c>
      <c r="L120" s="4">
        <v>4.0</v>
      </c>
    </row>
    <row r="121" ht="60.0" customHeight="1">
      <c r="A121" s="5" t="s">
        <v>352</v>
      </c>
      <c r="B121" s="6" t="s">
        <v>286</v>
      </c>
      <c r="C121" s="6" t="s">
        <v>353</v>
      </c>
      <c r="D121" s="3">
        <v>4.0</v>
      </c>
      <c r="E121" s="12" t="s">
        <v>22</v>
      </c>
      <c r="F121" s="8">
        <v>46188.0</v>
      </c>
      <c r="G121" s="3" t="s">
        <v>29</v>
      </c>
      <c r="H121" s="3" t="s">
        <v>29</v>
      </c>
      <c r="I121" s="9" t="s">
        <v>354</v>
      </c>
      <c r="J121" s="3" t="s">
        <v>19</v>
      </c>
      <c r="K121" s="3" t="s">
        <v>161</v>
      </c>
      <c r="L121" s="4">
        <v>4.0</v>
      </c>
    </row>
    <row r="122">
      <c r="B122" s="17"/>
      <c r="C122" s="17"/>
    </row>
    <row r="123">
      <c r="B123" s="17"/>
      <c r="C123" s="17"/>
    </row>
    <row r="124">
      <c r="B124" s="17"/>
      <c r="C124" s="17"/>
    </row>
    <row r="125">
      <c r="B125" s="17"/>
      <c r="C125" s="17"/>
    </row>
    <row r="126">
      <c r="B126" s="17"/>
      <c r="C126" s="17"/>
    </row>
    <row r="127">
      <c r="B127" s="17"/>
      <c r="C127" s="17"/>
    </row>
    <row r="128">
      <c r="B128" s="17"/>
      <c r="C128" s="17"/>
    </row>
    <row r="129">
      <c r="B129" s="17"/>
      <c r="C129" s="17"/>
    </row>
    <row r="130">
      <c r="B130" s="17"/>
      <c r="C130" s="17"/>
    </row>
    <row r="131">
      <c r="B131" s="17"/>
      <c r="C131" s="17"/>
    </row>
    <row r="132">
      <c r="B132" s="17"/>
      <c r="C132" s="17"/>
    </row>
    <row r="133">
      <c r="B133" s="17"/>
      <c r="C133" s="17"/>
    </row>
    <row r="134">
      <c r="B134" s="17"/>
      <c r="C134" s="17"/>
    </row>
    <row r="135">
      <c r="B135" s="17"/>
      <c r="C135" s="17"/>
    </row>
    <row r="136">
      <c r="B136" s="17"/>
      <c r="C136" s="17"/>
    </row>
    <row r="137">
      <c r="B137" s="17"/>
      <c r="C137" s="17"/>
    </row>
    <row r="138">
      <c r="B138" s="17"/>
      <c r="C138" s="17"/>
    </row>
    <row r="139">
      <c r="B139" s="17"/>
      <c r="C139" s="17"/>
    </row>
    <row r="140">
      <c r="B140" s="17"/>
      <c r="C140" s="17"/>
    </row>
    <row r="141">
      <c r="B141" s="17"/>
      <c r="C141" s="17"/>
    </row>
    <row r="142">
      <c r="B142" s="17"/>
      <c r="C142" s="17"/>
    </row>
    <row r="143">
      <c r="B143" s="17"/>
      <c r="C143" s="17"/>
    </row>
    <row r="144">
      <c r="B144" s="17"/>
      <c r="C144" s="17"/>
    </row>
    <row r="145">
      <c r="B145" s="17"/>
      <c r="C145" s="17"/>
    </row>
    <row r="146">
      <c r="B146" s="17"/>
      <c r="C146" s="17"/>
    </row>
    <row r="147">
      <c r="B147" s="17"/>
      <c r="C147" s="17"/>
    </row>
    <row r="148">
      <c r="B148" s="17"/>
      <c r="C148" s="17"/>
    </row>
    <row r="149">
      <c r="B149" s="17"/>
      <c r="C149" s="17"/>
    </row>
    <row r="150">
      <c r="B150" s="17"/>
      <c r="C150" s="17"/>
    </row>
    <row r="151">
      <c r="B151" s="17"/>
      <c r="C151" s="17"/>
    </row>
    <row r="152">
      <c r="B152" s="17"/>
      <c r="C152" s="17"/>
    </row>
    <row r="153">
      <c r="B153" s="17"/>
      <c r="C153" s="17"/>
    </row>
    <row r="154">
      <c r="B154" s="17"/>
      <c r="C154" s="17"/>
    </row>
    <row r="155">
      <c r="B155" s="17"/>
      <c r="C155" s="17"/>
    </row>
    <row r="156">
      <c r="B156" s="17"/>
      <c r="C156" s="17"/>
    </row>
    <row r="157">
      <c r="B157" s="17"/>
      <c r="C157" s="17"/>
    </row>
    <row r="158">
      <c r="B158" s="17"/>
      <c r="C158" s="17"/>
    </row>
    <row r="159">
      <c r="B159" s="17"/>
      <c r="C159" s="17"/>
    </row>
    <row r="160">
      <c r="B160" s="17"/>
      <c r="C160" s="17"/>
    </row>
    <row r="161">
      <c r="B161" s="17"/>
      <c r="C161" s="17"/>
    </row>
    <row r="162">
      <c r="B162" s="17"/>
      <c r="C162" s="17"/>
    </row>
    <row r="163">
      <c r="B163" s="17"/>
      <c r="C163" s="17"/>
    </row>
    <row r="164">
      <c r="B164" s="17"/>
      <c r="C164" s="17"/>
    </row>
    <row r="165">
      <c r="B165" s="17"/>
      <c r="C165" s="17"/>
    </row>
    <row r="166">
      <c r="B166" s="17"/>
      <c r="C166" s="17"/>
    </row>
    <row r="167">
      <c r="B167" s="17"/>
      <c r="C167" s="17"/>
    </row>
    <row r="168">
      <c r="B168" s="17"/>
      <c r="C168" s="17"/>
    </row>
    <row r="169">
      <c r="B169" s="17"/>
      <c r="C169" s="17"/>
    </row>
    <row r="170">
      <c r="B170" s="17"/>
      <c r="C170" s="17"/>
    </row>
    <row r="171">
      <c r="B171" s="17"/>
      <c r="C171" s="17"/>
    </row>
    <row r="172">
      <c r="B172" s="17"/>
      <c r="C172" s="17"/>
    </row>
    <row r="173">
      <c r="B173" s="17"/>
      <c r="C173" s="17"/>
    </row>
    <row r="174">
      <c r="B174" s="17"/>
      <c r="C174" s="17"/>
    </row>
    <row r="175">
      <c r="B175" s="17"/>
      <c r="C175" s="17"/>
    </row>
    <row r="176">
      <c r="B176" s="17"/>
      <c r="C176" s="17"/>
    </row>
    <row r="177">
      <c r="B177" s="17"/>
      <c r="C177" s="17"/>
    </row>
    <row r="178">
      <c r="B178" s="17"/>
      <c r="C178" s="17"/>
    </row>
    <row r="179">
      <c r="B179" s="17"/>
      <c r="C179" s="17"/>
    </row>
    <row r="180">
      <c r="B180" s="17"/>
      <c r="C180" s="17"/>
    </row>
    <row r="181">
      <c r="B181" s="17"/>
      <c r="C181" s="17"/>
    </row>
    <row r="182">
      <c r="B182" s="17"/>
      <c r="C182" s="17"/>
    </row>
    <row r="183">
      <c r="B183" s="17"/>
      <c r="C183" s="17"/>
    </row>
    <row r="184">
      <c r="B184" s="17"/>
      <c r="C184" s="17"/>
    </row>
    <row r="185">
      <c r="B185" s="17"/>
      <c r="C185" s="17"/>
    </row>
    <row r="186">
      <c r="B186" s="17"/>
      <c r="C186" s="17"/>
    </row>
    <row r="187">
      <c r="B187" s="17"/>
      <c r="C187" s="17"/>
    </row>
    <row r="188">
      <c r="B188" s="17"/>
      <c r="C188" s="17"/>
    </row>
    <row r="189">
      <c r="B189" s="17"/>
      <c r="C189" s="17"/>
    </row>
    <row r="190">
      <c r="B190" s="17"/>
      <c r="C190" s="17"/>
    </row>
    <row r="191">
      <c r="B191" s="17"/>
      <c r="C191" s="17"/>
    </row>
    <row r="192">
      <c r="B192" s="17"/>
      <c r="C192" s="17"/>
    </row>
    <row r="193">
      <c r="B193" s="17"/>
      <c r="C193" s="17"/>
    </row>
    <row r="194">
      <c r="B194" s="17"/>
      <c r="C194" s="17"/>
    </row>
    <row r="195">
      <c r="B195" s="17"/>
      <c r="C195" s="17"/>
    </row>
    <row r="196">
      <c r="B196" s="17"/>
      <c r="C196" s="17"/>
    </row>
    <row r="197">
      <c r="B197" s="17"/>
      <c r="C197" s="17"/>
    </row>
    <row r="198">
      <c r="B198" s="17"/>
      <c r="C198" s="17"/>
    </row>
    <row r="199">
      <c r="B199" s="17"/>
      <c r="C199" s="17"/>
    </row>
    <row r="200">
      <c r="B200" s="17"/>
      <c r="C200" s="17"/>
    </row>
    <row r="201">
      <c r="B201" s="17"/>
      <c r="C201" s="17"/>
    </row>
    <row r="202">
      <c r="B202" s="17"/>
      <c r="C202" s="17"/>
    </row>
    <row r="203">
      <c r="B203" s="17"/>
      <c r="C203" s="17"/>
    </row>
    <row r="204">
      <c r="B204" s="17"/>
      <c r="C204" s="17"/>
    </row>
    <row r="205">
      <c r="B205" s="17"/>
      <c r="C205" s="17"/>
    </row>
    <row r="206">
      <c r="B206" s="17"/>
      <c r="C206" s="17"/>
    </row>
    <row r="207">
      <c r="B207" s="17"/>
      <c r="C207" s="17"/>
    </row>
    <row r="208">
      <c r="B208" s="17"/>
      <c r="C208" s="17"/>
    </row>
    <row r="209">
      <c r="B209" s="17"/>
      <c r="C209" s="17"/>
    </row>
    <row r="210">
      <c r="B210" s="17"/>
      <c r="C210" s="17"/>
    </row>
    <row r="211">
      <c r="B211" s="17"/>
      <c r="C211" s="17"/>
    </row>
    <row r="212">
      <c r="B212" s="17"/>
      <c r="C212" s="17"/>
    </row>
    <row r="213">
      <c r="B213" s="17"/>
      <c r="C213" s="17"/>
    </row>
    <row r="214">
      <c r="B214" s="17"/>
      <c r="C214" s="17"/>
    </row>
    <row r="215">
      <c r="B215" s="17"/>
      <c r="C215" s="17"/>
    </row>
    <row r="216">
      <c r="B216" s="17"/>
      <c r="C216" s="17"/>
    </row>
    <row r="217">
      <c r="B217" s="17"/>
      <c r="C217" s="17"/>
    </row>
    <row r="218">
      <c r="B218" s="17"/>
      <c r="C218" s="17"/>
    </row>
    <row r="219">
      <c r="B219" s="17"/>
      <c r="C219" s="17"/>
    </row>
    <row r="220">
      <c r="B220" s="17"/>
      <c r="C220" s="17"/>
    </row>
    <row r="221">
      <c r="B221" s="17"/>
      <c r="C221" s="17"/>
    </row>
    <row r="222">
      <c r="B222" s="17"/>
      <c r="C222" s="17"/>
    </row>
    <row r="223">
      <c r="B223" s="17"/>
      <c r="C223" s="17"/>
    </row>
    <row r="224">
      <c r="B224" s="17"/>
      <c r="C224" s="17"/>
    </row>
    <row r="225">
      <c r="B225" s="17"/>
      <c r="C225" s="17"/>
    </row>
    <row r="226">
      <c r="B226" s="17"/>
      <c r="C226" s="17"/>
    </row>
    <row r="227">
      <c r="B227" s="17"/>
      <c r="C227" s="17"/>
    </row>
    <row r="228">
      <c r="B228" s="17"/>
      <c r="C228" s="17"/>
    </row>
    <row r="229">
      <c r="B229" s="17"/>
      <c r="C229" s="17"/>
    </row>
    <row r="230">
      <c r="B230" s="17"/>
      <c r="C230" s="17"/>
    </row>
    <row r="231">
      <c r="B231" s="17"/>
      <c r="C231" s="17"/>
    </row>
    <row r="232">
      <c r="B232" s="17"/>
      <c r="C232" s="17"/>
    </row>
    <row r="233">
      <c r="B233" s="17"/>
      <c r="C233" s="17"/>
    </row>
    <row r="234">
      <c r="B234" s="17"/>
      <c r="C234" s="17"/>
    </row>
    <row r="235">
      <c r="B235" s="17"/>
      <c r="C235" s="17"/>
    </row>
    <row r="236">
      <c r="B236" s="17"/>
      <c r="C236" s="17"/>
    </row>
    <row r="237">
      <c r="B237" s="17"/>
      <c r="C237" s="17"/>
    </row>
    <row r="238">
      <c r="B238" s="17"/>
      <c r="C238" s="17"/>
    </row>
    <row r="239">
      <c r="B239" s="17"/>
      <c r="C239" s="17"/>
    </row>
    <row r="240">
      <c r="B240" s="17"/>
      <c r="C240" s="17"/>
    </row>
    <row r="241">
      <c r="B241" s="17"/>
      <c r="C241" s="17"/>
    </row>
    <row r="242">
      <c r="B242" s="17"/>
      <c r="C242" s="17"/>
    </row>
    <row r="243">
      <c r="B243" s="17"/>
      <c r="C243" s="17"/>
    </row>
    <row r="244">
      <c r="B244" s="17"/>
      <c r="C244" s="17"/>
    </row>
    <row r="245">
      <c r="B245" s="17"/>
      <c r="C245" s="17"/>
    </row>
    <row r="246">
      <c r="B246" s="17"/>
      <c r="C246" s="17"/>
    </row>
    <row r="247">
      <c r="B247" s="17"/>
      <c r="C247" s="17"/>
    </row>
    <row r="248">
      <c r="B248" s="17"/>
      <c r="C248" s="17"/>
    </row>
    <row r="249">
      <c r="B249" s="17"/>
      <c r="C249" s="17"/>
    </row>
    <row r="250">
      <c r="B250" s="17"/>
      <c r="C250" s="17"/>
    </row>
    <row r="251">
      <c r="B251" s="17"/>
      <c r="C251" s="17"/>
    </row>
    <row r="252">
      <c r="B252" s="17"/>
      <c r="C252" s="17"/>
    </row>
    <row r="253">
      <c r="B253" s="17"/>
      <c r="C253" s="17"/>
    </row>
    <row r="254">
      <c r="B254" s="17"/>
      <c r="C254" s="17"/>
    </row>
    <row r="255">
      <c r="B255" s="17"/>
      <c r="C255" s="17"/>
    </row>
    <row r="256">
      <c r="B256" s="17"/>
      <c r="C256" s="17"/>
    </row>
    <row r="257">
      <c r="B257" s="17"/>
      <c r="C257" s="17"/>
    </row>
    <row r="258">
      <c r="B258" s="17"/>
      <c r="C258" s="17"/>
    </row>
    <row r="259">
      <c r="B259" s="17"/>
      <c r="C259" s="17"/>
    </row>
    <row r="260">
      <c r="B260" s="17"/>
      <c r="C260" s="17"/>
    </row>
    <row r="261">
      <c r="B261" s="17"/>
      <c r="C261" s="17"/>
    </row>
    <row r="262">
      <c r="B262" s="17"/>
      <c r="C262" s="17"/>
    </row>
    <row r="263">
      <c r="B263" s="17"/>
      <c r="C263" s="17"/>
    </row>
    <row r="264">
      <c r="B264" s="17"/>
      <c r="C264" s="17"/>
    </row>
    <row r="265">
      <c r="B265" s="17"/>
      <c r="C265" s="17"/>
    </row>
    <row r="266">
      <c r="B266" s="17"/>
      <c r="C266" s="17"/>
    </row>
    <row r="267">
      <c r="B267" s="17"/>
      <c r="C267" s="17"/>
    </row>
    <row r="268">
      <c r="B268" s="17"/>
      <c r="C268" s="17"/>
    </row>
    <row r="269">
      <c r="B269" s="17"/>
      <c r="C269" s="17"/>
    </row>
    <row r="270">
      <c r="B270" s="17"/>
      <c r="C270" s="17"/>
    </row>
    <row r="271">
      <c r="B271" s="17"/>
      <c r="C271" s="17"/>
    </row>
    <row r="272">
      <c r="B272" s="17"/>
      <c r="C272" s="17"/>
    </row>
    <row r="273">
      <c r="B273" s="17"/>
      <c r="C273" s="17"/>
    </row>
    <row r="274">
      <c r="B274" s="17"/>
      <c r="C274" s="17"/>
    </row>
    <row r="275">
      <c r="B275" s="17"/>
      <c r="C275" s="17"/>
    </row>
    <row r="276">
      <c r="B276" s="17"/>
      <c r="C276" s="17"/>
    </row>
    <row r="277">
      <c r="B277" s="17"/>
      <c r="C277" s="17"/>
    </row>
    <row r="278">
      <c r="B278" s="17"/>
      <c r="C278" s="17"/>
    </row>
    <row r="279">
      <c r="B279" s="17"/>
      <c r="C279" s="17"/>
    </row>
    <row r="280">
      <c r="B280" s="17"/>
      <c r="C280" s="17"/>
    </row>
    <row r="281">
      <c r="B281" s="17"/>
      <c r="C281" s="17"/>
    </row>
    <row r="282">
      <c r="B282" s="17"/>
      <c r="C282" s="17"/>
    </row>
    <row r="283">
      <c r="B283" s="17"/>
      <c r="C283" s="17"/>
    </row>
    <row r="284">
      <c r="B284" s="17"/>
      <c r="C284" s="17"/>
    </row>
    <row r="285">
      <c r="B285" s="17"/>
      <c r="C285" s="17"/>
    </row>
    <row r="286">
      <c r="B286" s="17"/>
      <c r="C286" s="17"/>
    </row>
    <row r="287">
      <c r="B287" s="17"/>
      <c r="C287" s="17"/>
    </row>
    <row r="288">
      <c r="B288" s="17"/>
      <c r="C288" s="17"/>
    </row>
    <row r="289">
      <c r="B289" s="17"/>
      <c r="C289" s="17"/>
    </row>
    <row r="290">
      <c r="B290" s="17"/>
      <c r="C290" s="17"/>
    </row>
    <row r="291">
      <c r="B291" s="17"/>
      <c r="C291" s="17"/>
    </row>
    <row r="292">
      <c r="B292" s="17"/>
      <c r="C292" s="17"/>
    </row>
    <row r="293">
      <c r="B293" s="17"/>
      <c r="C293" s="17"/>
    </row>
    <row r="294">
      <c r="B294" s="17"/>
      <c r="C294" s="17"/>
    </row>
    <row r="295">
      <c r="B295" s="17"/>
      <c r="C295" s="17"/>
    </row>
    <row r="296">
      <c r="B296" s="17"/>
      <c r="C296" s="17"/>
    </row>
    <row r="297">
      <c r="B297" s="17"/>
      <c r="C297" s="17"/>
    </row>
    <row r="298">
      <c r="B298" s="17"/>
      <c r="C298" s="17"/>
    </row>
    <row r="299">
      <c r="B299" s="17"/>
      <c r="C299" s="17"/>
    </row>
    <row r="300">
      <c r="B300" s="17"/>
      <c r="C300" s="17"/>
    </row>
    <row r="301">
      <c r="B301" s="17"/>
      <c r="C301" s="17"/>
    </row>
    <row r="302">
      <c r="B302" s="17"/>
      <c r="C302" s="17"/>
    </row>
    <row r="303">
      <c r="B303" s="17"/>
      <c r="C303" s="17"/>
    </row>
    <row r="304">
      <c r="B304" s="17"/>
      <c r="C304" s="17"/>
    </row>
    <row r="305">
      <c r="B305" s="17"/>
      <c r="C305" s="17"/>
    </row>
    <row r="306">
      <c r="B306" s="17"/>
      <c r="C306" s="17"/>
    </row>
    <row r="307">
      <c r="B307" s="17"/>
      <c r="C307" s="17"/>
    </row>
    <row r="308">
      <c r="B308" s="17"/>
      <c r="C308" s="17"/>
    </row>
    <row r="309">
      <c r="B309" s="17"/>
      <c r="C309" s="17"/>
    </row>
    <row r="310">
      <c r="B310" s="17"/>
      <c r="C310" s="17"/>
    </row>
    <row r="311">
      <c r="B311" s="17"/>
      <c r="C311" s="17"/>
    </row>
    <row r="312">
      <c r="B312" s="17"/>
      <c r="C312" s="17"/>
    </row>
    <row r="313">
      <c r="B313" s="17"/>
      <c r="C313" s="17"/>
    </row>
    <row r="314">
      <c r="B314" s="17"/>
      <c r="C314" s="17"/>
    </row>
    <row r="315">
      <c r="B315" s="17"/>
      <c r="C315" s="17"/>
    </row>
    <row r="316">
      <c r="B316" s="17"/>
      <c r="C316" s="17"/>
    </row>
    <row r="317">
      <c r="B317" s="17"/>
      <c r="C317" s="17"/>
    </row>
    <row r="318">
      <c r="B318" s="17"/>
      <c r="C318" s="17"/>
    </row>
    <row r="319">
      <c r="B319" s="17"/>
      <c r="C319" s="17"/>
    </row>
    <row r="320">
      <c r="B320" s="17"/>
      <c r="C320" s="17"/>
    </row>
    <row r="321">
      <c r="B321" s="17"/>
      <c r="C321" s="17"/>
    </row>
    <row r="322">
      <c r="B322" s="17"/>
      <c r="C322" s="17"/>
    </row>
    <row r="323">
      <c r="B323" s="17"/>
      <c r="C323" s="17"/>
    </row>
    <row r="324">
      <c r="B324" s="17"/>
      <c r="C324" s="17"/>
    </row>
    <row r="325">
      <c r="B325" s="17"/>
      <c r="C325" s="17"/>
    </row>
    <row r="326">
      <c r="B326" s="17"/>
      <c r="C326" s="17"/>
    </row>
    <row r="327">
      <c r="B327" s="17"/>
      <c r="C327" s="17"/>
    </row>
    <row r="328">
      <c r="B328" s="17"/>
      <c r="C328" s="17"/>
    </row>
    <row r="329">
      <c r="B329" s="17"/>
      <c r="C329" s="17"/>
    </row>
    <row r="330">
      <c r="B330" s="17"/>
      <c r="C330" s="17"/>
    </row>
    <row r="331">
      <c r="B331" s="17"/>
      <c r="C331" s="17"/>
    </row>
    <row r="332">
      <c r="B332" s="17"/>
      <c r="C332" s="17"/>
    </row>
    <row r="333">
      <c r="B333" s="17"/>
      <c r="C333" s="17"/>
    </row>
    <row r="334">
      <c r="B334" s="17"/>
      <c r="C334" s="17"/>
    </row>
    <row r="335">
      <c r="B335" s="17"/>
      <c r="C335" s="17"/>
    </row>
    <row r="336">
      <c r="B336" s="17"/>
      <c r="C336" s="17"/>
    </row>
    <row r="337">
      <c r="B337" s="17"/>
      <c r="C337" s="17"/>
    </row>
    <row r="338">
      <c r="B338" s="17"/>
      <c r="C338" s="17"/>
    </row>
    <row r="339">
      <c r="B339" s="17"/>
      <c r="C339" s="17"/>
    </row>
    <row r="340">
      <c r="B340" s="17"/>
      <c r="C340" s="17"/>
    </row>
    <row r="341">
      <c r="B341" s="17"/>
      <c r="C341" s="17"/>
    </row>
    <row r="342">
      <c r="B342" s="17"/>
      <c r="C342" s="17"/>
    </row>
    <row r="343">
      <c r="B343" s="17"/>
      <c r="C343" s="17"/>
    </row>
    <row r="344">
      <c r="B344" s="17"/>
      <c r="C344" s="17"/>
    </row>
    <row r="345">
      <c r="B345" s="17"/>
      <c r="C345" s="17"/>
    </row>
    <row r="346">
      <c r="B346" s="17"/>
      <c r="C346" s="17"/>
    </row>
    <row r="347">
      <c r="B347" s="17"/>
      <c r="C347" s="17"/>
    </row>
    <row r="348">
      <c r="B348" s="17"/>
      <c r="C348" s="17"/>
    </row>
    <row r="349">
      <c r="B349" s="17"/>
      <c r="C349" s="17"/>
    </row>
    <row r="350">
      <c r="B350" s="17"/>
      <c r="C350" s="17"/>
    </row>
    <row r="351">
      <c r="B351" s="17"/>
      <c r="C351" s="17"/>
    </row>
    <row r="352">
      <c r="B352" s="17"/>
      <c r="C352" s="17"/>
    </row>
    <row r="353">
      <c r="B353" s="17"/>
      <c r="C353" s="17"/>
    </row>
    <row r="354">
      <c r="B354" s="17"/>
      <c r="C354" s="17"/>
    </row>
    <row r="355">
      <c r="B355" s="17"/>
      <c r="C355" s="17"/>
    </row>
    <row r="356">
      <c r="B356" s="17"/>
      <c r="C356" s="17"/>
    </row>
    <row r="357">
      <c r="B357" s="17"/>
      <c r="C357" s="17"/>
    </row>
    <row r="358">
      <c r="B358" s="17"/>
      <c r="C358" s="17"/>
    </row>
    <row r="359">
      <c r="B359" s="17"/>
      <c r="C359" s="17"/>
    </row>
    <row r="360">
      <c r="B360" s="17"/>
      <c r="C360" s="17"/>
    </row>
    <row r="361">
      <c r="B361" s="17"/>
      <c r="C361" s="17"/>
    </row>
    <row r="362">
      <c r="B362" s="17"/>
      <c r="C362" s="17"/>
    </row>
    <row r="363">
      <c r="B363" s="17"/>
      <c r="C363" s="17"/>
    </row>
    <row r="364">
      <c r="B364" s="17"/>
      <c r="C364" s="17"/>
    </row>
    <row r="365">
      <c r="B365" s="17"/>
      <c r="C365" s="17"/>
    </row>
    <row r="366">
      <c r="B366" s="17"/>
      <c r="C366" s="17"/>
    </row>
    <row r="367">
      <c r="B367" s="17"/>
      <c r="C367" s="17"/>
    </row>
    <row r="368">
      <c r="B368" s="17"/>
      <c r="C368" s="17"/>
    </row>
    <row r="369">
      <c r="B369" s="17"/>
      <c r="C369" s="17"/>
    </row>
    <row r="370">
      <c r="B370" s="17"/>
      <c r="C370" s="17"/>
    </row>
    <row r="371">
      <c r="B371" s="17"/>
      <c r="C371" s="17"/>
    </row>
    <row r="372">
      <c r="B372" s="17"/>
      <c r="C372" s="17"/>
    </row>
    <row r="373">
      <c r="B373" s="17"/>
      <c r="C373" s="17"/>
    </row>
    <row r="374">
      <c r="B374" s="17"/>
      <c r="C374" s="17"/>
    </row>
    <row r="375">
      <c r="B375" s="17"/>
      <c r="C375" s="17"/>
    </row>
    <row r="376">
      <c r="B376" s="17"/>
      <c r="C376" s="17"/>
    </row>
    <row r="377">
      <c r="B377" s="17"/>
      <c r="C377" s="17"/>
    </row>
    <row r="378">
      <c r="B378" s="17"/>
      <c r="C378" s="17"/>
    </row>
    <row r="379">
      <c r="B379" s="17"/>
      <c r="C379" s="17"/>
    </row>
    <row r="380">
      <c r="B380" s="17"/>
      <c r="C380" s="17"/>
    </row>
    <row r="381">
      <c r="B381" s="17"/>
      <c r="C381" s="17"/>
    </row>
    <row r="382">
      <c r="B382" s="17"/>
      <c r="C382" s="17"/>
    </row>
    <row r="383">
      <c r="B383" s="17"/>
      <c r="C383" s="17"/>
    </row>
    <row r="384">
      <c r="B384" s="17"/>
      <c r="C384" s="17"/>
    </row>
    <row r="385">
      <c r="B385" s="17"/>
      <c r="C385" s="17"/>
    </row>
    <row r="386">
      <c r="B386" s="17"/>
      <c r="C386" s="17"/>
    </row>
    <row r="387">
      <c r="B387" s="17"/>
      <c r="C387" s="17"/>
    </row>
    <row r="388">
      <c r="B388" s="17"/>
      <c r="C388" s="17"/>
    </row>
    <row r="389">
      <c r="B389" s="17"/>
      <c r="C389" s="17"/>
    </row>
    <row r="390">
      <c r="B390" s="17"/>
      <c r="C390" s="17"/>
    </row>
    <row r="391">
      <c r="B391" s="17"/>
      <c r="C391" s="17"/>
    </row>
    <row r="392">
      <c r="B392" s="17"/>
      <c r="C392" s="17"/>
    </row>
    <row r="393">
      <c r="B393" s="17"/>
      <c r="C393" s="17"/>
    </row>
    <row r="394">
      <c r="B394" s="17"/>
      <c r="C394" s="17"/>
    </row>
    <row r="395">
      <c r="B395" s="17"/>
      <c r="C395" s="17"/>
    </row>
    <row r="396">
      <c r="B396" s="17"/>
      <c r="C396" s="17"/>
    </row>
    <row r="397">
      <c r="B397" s="17"/>
      <c r="C397" s="17"/>
    </row>
    <row r="398">
      <c r="B398" s="17"/>
      <c r="C398" s="17"/>
    </row>
    <row r="399">
      <c r="B399" s="17"/>
      <c r="C399" s="17"/>
    </row>
    <row r="400">
      <c r="B400" s="17"/>
      <c r="C400" s="17"/>
    </row>
    <row r="401">
      <c r="B401" s="17"/>
      <c r="C401" s="17"/>
    </row>
    <row r="402">
      <c r="B402" s="17"/>
      <c r="C402" s="17"/>
    </row>
    <row r="403">
      <c r="B403" s="17"/>
      <c r="C403" s="17"/>
    </row>
    <row r="404">
      <c r="B404" s="17"/>
      <c r="C404" s="17"/>
    </row>
    <row r="405">
      <c r="B405" s="17"/>
      <c r="C405" s="17"/>
    </row>
    <row r="406">
      <c r="B406" s="17"/>
      <c r="C406" s="17"/>
    </row>
    <row r="407">
      <c r="B407" s="17"/>
      <c r="C407" s="17"/>
    </row>
    <row r="408">
      <c r="B408" s="17"/>
      <c r="C408" s="17"/>
    </row>
    <row r="409">
      <c r="B409" s="17"/>
      <c r="C409" s="17"/>
    </row>
    <row r="410">
      <c r="B410" s="17"/>
      <c r="C410" s="17"/>
    </row>
    <row r="411">
      <c r="B411" s="17"/>
      <c r="C411" s="17"/>
    </row>
    <row r="412">
      <c r="B412" s="17"/>
      <c r="C412" s="17"/>
    </row>
    <row r="413">
      <c r="B413" s="17"/>
      <c r="C413" s="17"/>
    </row>
    <row r="414">
      <c r="B414" s="17"/>
      <c r="C414" s="17"/>
    </row>
    <row r="415">
      <c r="B415" s="17"/>
      <c r="C415" s="17"/>
    </row>
    <row r="416">
      <c r="B416" s="17"/>
      <c r="C416" s="17"/>
    </row>
    <row r="417">
      <c r="B417" s="17"/>
      <c r="C417" s="17"/>
    </row>
    <row r="418">
      <c r="B418" s="17"/>
      <c r="C418" s="17"/>
    </row>
    <row r="419">
      <c r="B419" s="17"/>
      <c r="C419" s="17"/>
    </row>
    <row r="420">
      <c r="B420" s="17"/>
      <c r="C420" s="17"/>
    </row>
    <row r="421">
      <c r="B421" s="17"/>
      <c r="C421" s="17"/>
    </row>
    <row r="422">
      <c r="B422" s="17"/>
      <c r="C422" s="17"/>
    </row>
    <row r="423">
      <c r="B423" s="17"/>
      <c r="C423" s="17"/>
    </row>
    <row r="424">
      <c r="B424" s="17"/>
      <c r="C424" s="17"/>
    </row>
    <row r="425">
      <c r="B425" s="17"/>
      <c r="C425" s="17"/>
    </row>
    <row r="426">
      <c r="B426" s="17"/>
      <c r="C426" s="17"/>
    </row>
    <row r="427">
      <c r="B427" s="17"/>
      <c r="C427" s="17"/>
    </row>
    <row r="428">
      <c r="B428" s="17"/>
      <c r="C428" s="17"/>
    </row>
    <row r="429">
      <c r="B429" s="17"/>
      <c r="C429" s="17"/>
    </row>
    <row r="430">
      <c r="B430" s="17"/>
      <c r="C430" s="17"/>
    </row>
    <row r="431">
      <c r="B431" s="17"/>
      <c r="C431" s="17"/>
    </row>
    <row r="432">
      <c r="B432" s="17"/>
      <c r="C432" s="17"/>
    </row>
    <row r="433">
      <c r="B433" s="17"/>
      <c r="C433" s="17"/>
    </row>
    <row r="434">
      <c r="B434" s="17"/>
      <c r="C434" s="17"/>
    </row>
    <row r="435">
      <c r="B435" s="17"/>
      <c r="C435" s="17"/>
    </row>
    <row r="436">
      <c r="B436" s="17"/>
      <c r="C436" s="17"/>
    </row>
    <row r="437">
      <c r="B437" s="17"/>
      <c r="C437" s="17"/>
    </row>
    <row r="438">
      <c r="B438" s="17"/>
      <c r="C438" s="17"/>
    </row>
    <row r="439">
      <c r="B439" s="17"/>
      <c r="C439" s="17"/>
    </row>
    <row r="440">
      <c r="B440" s="17"/>
      <c r="C440" s="17"/>
    </row>
    <row r="441">
      <c r="B441" s="17"/>
      <c r="C441" s="17"/>
    </row>
    <row r="442">
      <c r="B442" s="17"/>
      <c r="C442" s="17"/>
    </row>
    <row r="443">
      <c r="B443" s="17"/>
      <c r="C443" s="17"/>
    </row>
    <row r="444">
      <c r="B444" s="17"/>
      <c r="C444" s="17"/>
    </row>
    <row r="445">
      <c r="B445" s="17"/>
      <c r="C445" s="17"/>
    </row>
    <row r="446">
      <c r="B446" s="17"/>
      <c r="C446" s="17"/>
    </row>
    <row r="447">
      <c r="B447" s="17"/>
      <c r="C447" s="17"/>
    </row>
    <row r="448">
      <c r="B448" s="17"/>
      <c r="C448" s="17"/>
    </row>
    <row r="449">
      <c r="B449" s="17"/>
      <c r="C449" s="17"/>
    </row>
    <row r="450">
      <c r="B450" s="17"/>
      <c r="C450" s="17"/>
    </row>
    <row r="451">
      <c r="B451" s="17"/>
      <c r="C451" s="17"/>
    </row>
    <row r="452">
      <c r="B452" s="17"/>
      <c r="C452" s="17"/>
    </row>
    <row r="453">
      <c r="B453" s="17"/>
      <c r="C453" s="17"/>
    </row>
    <row r="454">
      <c r="B454" s="17"/>
      <c r="C454" s="17"/>
    </row>
    <row r="455">
      <c r="B455" s="17"/>
      <c r="C455" s="17"/>
    </row>
    <row r="456">
      <c r="B456" s="17"/>
      <c r="C456" s="17"/>
    </row>
    <row r="457">
      <c r="B457" s="17"/>
      <c r="C457" s="17"/>
    </row>
    <row r="458">
      <c r="B458" s="17"/>
      <c r="C458" s="17"/>
    </row>
    <row r="459">
      <c r="B459" s="17"/>
      <c r="C459" s="17"/>
    </row>
    <row r="460">
      <c r="B460" s="17"/>
      <c r="C460" s="17"/>
    </row>
    <row r="461">
      <c r="B461" s="17"/>
      <c r="C461" s="17"/>
    </row>
    <row r="462">
      <c r="B462" s="17"/>
      <c r="C462" s="17"/>
    </row>
    <row r="463">
      <c r="B463" s="17"/>
      <c r="C463" s="17"/>
    </row>
    <row r="464">
      <c r="B464" s="17"/>
      <c r="C464" s="17"/>
    </row>
    <row r="465">
      <c r="B465" s="17"/>
      <c r="C465" s="17"/>
    </row>
    <row r="466">
      <c r="B466" s="17"/>
      <c r="C466" s="17"/>
    </row>
    <row r="467">
      <c r="B467" s="17"/>
      <c r="C467" s="17"/>
    </row>
    <row r="468">
      <c r="B468" s="17"/>
      <c r="C468" s="17"/>
    </row>
    <row r="469">
      <c r="B469" s="17"/>
      <c r="C469" s="17"/>
    </row>
    <row r="470">
      <c r="B470" s="17"/>
      <c r="C470" s="17"/>
    </row>
    <row r="471">
      <c r="B471" s="17"/>
      <c r="C471" s="17"/>
    </row>
    <row r="472">
      <c r="B472" s="17"/>
      <c r="C472" s="17"/>
    </row>
    <row r="473">
      <c r="B473" s="17"/>
      <c r="C473" s="17"/>
    </row>
    <row r="474">
      <c r="B474" s="17"/>
      <c r="C474" s="17"/>
    </row>
    <row r="475">
      <c r="B475" s="17"/>
      <c r="C475" s="17"/>
    </row>
    <row r="476">
      <c r="B476" s="17"/>
      <c r="C476" s="17"/>
    </row>
    <row r="477">
      <c r="B477" s="17"/>
      <c r="C477" s="17"/>
    </row>
    <row r="478">
      <c r="B478" s="17"/>
      <c r="C478" s="17"/>
    </row>
    <row r="479">
      <c r="B479" s="17"/>
      <c r="C479" s="17"/>
    </row>
    <row r="480">
      <c r="B480" s="17"/>
      <c r="C480" s="17"/>
    </row>
    <row r="481">
      <c r="B481" s="17"/>
      <c r="C481" s="17"/>
    </row>
    <row r="482">
      <c r="B482" s="17"/>
      <c r="C482" s="17"/>
    </row>
    <row r="483">
      <c r="B483" s="17"/>
      <c r="C483" s="17"/>
    </row>
    <row r="484">
      <c r="B484" s="17"/>
      <c r="C484" s="17"/>
    </row>
    <row r="485">
      <c r="B485" s="17"/>
      <c r="C485" s="17"/>
    </row>
    <row r="486">
      <c r="B486" s="17"/>
      <c r="C486" s="17"/>
    </row>
    <row r="487">
      <c r="B487" s="17"/>
      <c r="C487" s="17"/>
    </row>
    <row r="488">
      <c r="B488" s="17"/>
      <c r="C488" s="17"/>
    </row>
    <row r="489">
      <c r="B489" s="17"/>
      <c r="C489" s="17"/>
    </row>
    <row r="490">
      <c r="B490" s="17"/>
      <c r="C490" s="17"/>
    </row>
    <row r="491">
      <c r="B491" s="17"/>
      <c r="C491" s="17"/>
    </row>
    <row r="492">
      <c r="B492" s="17"/>
      <c r="C492" s="17"/>
    </row>
    <row r="493">
      <c r="B493" s="17"/>
      <c r="C493" s="17"/>
    </row>
    <row r="494">
      <c r="B494" s="17"/>
      <c r="C494" s="17"/>
    </row>
    <row r="495">
      <c r="B495" s="17"/>
      <c r="C495" s="17"/>
    </row>
    <row r="496">
      <c r="B496" s="17"/>
      <c r="C496" s="17"/>
    </row>
    <row r="497">
      <c r="B497" s="17"/>
      <c r="C497" s="17"/>
    </row>
    <row r="498">
      <c r="B498" s="17"/>
      <c r="C498" s="17"/>
    </row>
    <row r="499">
      <c r="B499" s="17"/>
      <c r="C499" s="17"/>
    </row>
    <row r="500">
      <c r="B500" s="17"/>
      <c r="C500" s="17"/>
    </row>
    <row r="501">
      <c r="B501" s="17"/>
      <c r="C501" s="17"/>
    </row>
    <row r="502">
      <c r="B502" s="17"/>
      <c r="C502" s="17"/>
    </row>
    <row r="503">
      <c r="B503" s="17"/>
      <c r="C503" s="17"/>
    </row>
    <row r="504">
      <c r="B504" s="17"/>
      <c r="C504" s="17"/>
    </row>
    <row r="505">
      <c r="B505" s="17"/>
      <c r="C505" s="17"/>
    </row>
    <row r="506">
      <c r="B506" s="17"/>
      <c r="C506" s="17"/>
    </row>
    <row r="507">
      <c r="B507" s="17"/>
      <c r="C507" s="17"/>
    </row>
    <row r="508">
      <c r="B508" s="17"/>
      <c r="C508" s="17"/>
    </row>
    <row r="509">
      <c r="B509" s="17"/>
      <c r="C509" s="17"/>
    </row>
    <row r="510">
      <c r="B510" s="17"/>
      <c r="C510" s="17"/>
    </row>
    <row r="511">
      <c r="B511" s="17"/>
      <c r="C511" s="17"/>
    </row>
    <row r="512">
      <c r="B512" s="17"/>
      <c r="C512" s="17"/>
    </row>
    <row r="513">
      <c r="B513" s="17"/>
      <c r="C513" s="17"/>
    </row>
    <row r="514">
      <c r="B514" s="17"/>
      <c r="C514" s="17"/>
    </row>
    <row r="515">
      <c r="B515" s="17"/>
      <c r="C515" s="17"/>
    </row>
    <row r="516">
      <c r="B516" s="17"/>
      <c r="C516" s="17"/>
    </row>
    <row r="517">
      <c r="B517" s="17"/>
      <c r="C517" s="17"/>
    </row>
    <row r="518">
      <c r="B518" s="17"/>
      <c r="C518" s="17"/>
    </row>
    <row r="519">
      <c r="B519" s="17"/>
      <c r="C519" s="17"/>
    </row>
    <row r="520">
      <c r="B520" s="17"/>
      <c r="C520" s="17"/>
    </row>
    <row r="521">
      <c r="B521" s="17"/>
      <c r="C521" s="17"/>
    </row>
    <row r="522">
      <c r="B522" s="17"/>
      <c r="C522" s="17"/>
    </row>
    <row r="523">
      <c r="B523" s="17"/>
      <c r="C523" s="17"/>
    </row>
    <row r="524">
      <c r="B524" s="17"/>
      <c r="C524" s="17"/>
    </row>
    <row r="525">
      <c r="B525" s="17"/>
      <c r="C525" s="17"/>
    </row>
    <row r="526">
      <c r="B526" s="17"/>
      <c r="C526" s="17"/>
    </row>
    <row r="527">
      <c r="B527" s="17"/>
      <c r="C527" s="17"/>
    </row>
    <row r="528">
      <c r="B528" s="17"/>
      <c r="C528" s="17"/>
    </row>
    <row r="529">
      <c r="B529" s="17"/>
      <c r="C529" s="17"/>
    </row>
    <row r="530">
      <c r="B530" s="17"/>
      <c r="C530" s="17"/>
    </row>
    <row r="531">
      <c r="B531" s="17"/>
      <c r="C531" s="17"/>
    </row>
    <row r="532">
      <c r="B532" s="17"/>
      <c r="C532" s="17"/>
    </row>
    <row r="533">
      <c r="B533" s="17"/>
      <c r="C533" s="17"/>
    </row>
    <row r="534">
      <c r="B534" s="17"/>
      <c r="C534" s="17"/>
    </row>
    <row r="535">
      <c r="B535" s="17"/>
      <c r="C535" s="17"/>
    </row>
    <row r="536">
      <c r="B536" s="17"/>
      <c r="C536" s="17"/>
    </row>
    <row r="537">
      <c r="B537" s="17"/>
      <c r="C537" s="17"/>
    </row>
    <row r="538">
      <c r="B538" s="17"/>
      <c r="C538" s="17"/>
    </row>
    <row r="539">
      <c r="B539" s="17"/>
      <c r="C539" s="17"/>
    </row>
    <row r="540">
      <c r="B540" s="17"/>
      <c r="C540" s="17"/>
    </row>
    <row r="541">
      <c r="B541" s="17"/>
      <c r="C541" s="17"/>
    </row>
    <row r="542">
      <c r="B542" s="17"/>
      <c r="C542" s="17"/>
    </row>
    <row r="543">
      <c r="B543" s="17"/>
      <c r="C543" s="17"/>
    </row>
    <row r="544">
      <c r="B544" s="17"/>
      <c r="C544" s="17"/>
    </row>
    <row r="545">
      <c r="B545" s="17"/>
      <c r="C545" s="17"/>
    </row>
    <row r="546">
      <c r="B546" s="17"/>
      <c r="C546" s="17"/>
    </row>
    <row r="547">
      <c r="B547" s="17"/>
      <c r="C547" s="17"/>
    </row>
    <row r="548">
      <c r="B548" s="17"/>
      <c r="C548" s="17"/>
    </row>
    <row r="549">
      <c r="B549" s="17"/>
      <c r="C549" s="17"/>
    </row>
    <row r="550">
      <c r="B550" s="17"/>
      <c r="C550" s="17"/>
    </row>
    <row r="551">
      <c r="B551" s="17"/>
      <c r="C551" s="17"/>
    </row>
    <row r="552">
      <c r="B552" s="17"/>
      <c r="C552" s="17"/>
    </row>
    <row r="553">
      <c r="B553" s="17"/>
      <c r="C553" s="17"/>
    </row>
    <row r="554">
      <c r="B554" s="17"/>
      <c r="C554" s="17"/>
    </row>
    <row r="555">
      <c r="B555" s="17"/>
      <c r="C555" s="17"/>
    </row>
    <row r="556">
      <c r="B556" s="17"/>
      <c r="C556" s="17"/>
    </row>
    <row r="557">
      <c r="B557" s="17"/>
      <c r="C557" s="17"/>
    </row>
    <row r="558">
      <c r="B558" s="17"/>
      <c r="C558" s="17"/>
    </row>
    <row r="559">
      <c r="B559" s="17"/>
      <c r="C559" s="17"/>
    </row>
    <row r="560">
      <c r="B560" s="17"/>
      <c r="C560" s="17"/>
    </row>
    <row r="561">
      <c r="B561" s="17"/>
      <c r="C561" s="17"/>
    </row>
    <row r="562">
      <c r="B562" s="17"/>
      <c r="C562" s="17"/>
    </row>
    <row r="563">
      <c r="B563" s="17"/>
      <c r="C563" s="17"/>
    </row>
    <row r="564">
      <c r="B564" s="17"/>
      <c r="C564" s="17"/>
    </row>
    <row r="565">
      <c r="B565" s="17"/>
      <c r="C565" s="17"/>
    </row>
    <row r="566">
      <c r="B566" s="17"/>
      <c r="C566" s="17"/>
    </row>
    <row r="567">
      <c r="B567" s="17"/>
      <c r="C567" s="17"/>
    </row>
    <row r="568">
      <c r="B568" s="17"/>
      <c r="C568" s="17"/>
    </row>
    <row r="569">
      <c r="B569" s="17"/>
      <c r="C569" s="17"/>
    </row>
    <row r="570">
      <c r="B570" s="17"/>
      <c r="C570" s="17"/>
    </row>
    <row r="571">
      <c r="B571" s="17"/>
      <c r="C571" s="17"/>
    </row>
    <row r="572">
      <c r="B572" s="17"/>
      <c r="C572" s="17"/>
    </row>
    <row r="573">
      <c r="B573" s="17"/>
      <c r="C573" s="17"/>
    </row>
    <row r="574">
      <c r="B574" s="17"/>
      <c r="C574" s="17"/>
    </row>
    <row r="575">
      <c r="B575" s="17"/>
      <c r="C575" s="17"/>
    </row>
    <row r="576">
      <c r="B576" s="17"/>
      <c r="C576" s="17"/>
    </row>
    <row r="577">
      <c r="B577" s="17"/>
      <c r="C577" s="17"/>
    </row>
    <row r="578">
      <c r="B578" s="17"/>
      <c r="C578" s="17"/>
    </row>
    <row r="579">
      <c r="B579" s="17"/>
      <c r="C579" s="17"/>
    </row>
    <row r="580">
      <c r="B580" s="17"/>
      <c r="C580" s="17"/>
    </row>
    <row r="581">
      <c r="B581" s="17"/>
      <c r="C581" s="17"/>
    </row>
    <row r="582">
      <c r="B582" s="17"/>
      <c r="C582" s="17"/>
    </row>
    <row r="583">
      <c r="B583" s="17"/>
      <c r="C583" s="17"/>
    </row>
    <row r="584">
      <c r="B584" s="17"/>
      <c r="C584" s="17"/>
    </row>
    <row r="585">
      <c r="B585" s="17"/>
      <c r="C585" s="17"/>
    </row>
    <row r="586">
      <c r="B586" s="17"/>
      <c r="C586" s="17"/>
    </row>
    <row r="587">
      <c r="B587" s="17"/>
      <c r="C587" s="17"/>
    </row>
    <row r="588">
      <c r="B588" s="17"/>
      <c r="C588" s="17"/>
    </row>
    <row r="589">
      <c r="B589" s="17"/>
      <c r="C589" s="17"/>
    </row>
    <row r="590">
      <c r="B590" s="17"/>
      <c r="C590" s="17"/>
    </row>
    <row r="591">
      <c r="B591" s="17"/>
      <c r="C591" s="17"/>
    </row>
    <row r="592">
      <c r="B592" s="17"/>
      <c r="C592" s="17"/>
    </row>
    <row r="593">
      <c r="B593" s="17"/>
      <c r="C593" s="17"/>
    </row>
    <row r="594">
      <c r="B594" s="17"/>
      <c r="C594" s="17"/>
    </row>
    <row r="595">
      <c r="B595" s="17"/>
      <c r="C595" s="17"/>
    </row>
    <row r="596">
      <c r="B596" s="17"/>
      <c r="C596" s="17"/>
    </row>
    <row r="597">
      <c r="B597" s="17"/>
      <c r="C597" s="17"/>
    </row>
    <row r="598">
      <c r="B598" s="17"/>
      <c r="C598" s="17"/>
    </row>
    <row r="599">
      <c r="B599" s="17"/>
      <c r="C599" s="17"/>
    </row>
    <row r="600">
      <c r="B600" s="17"/>
      <c r="C600" s="17"/>
    </row>
    <row r="601">
      <c r="B601" s="17"/>
      <c r="C601" s="17"/>
    </row>
    <row r="602">
      <c r="B602" s="17"/>
      <c r="C602" s="17"/>
    </row>
    <row r="603">
      <c r="B603" s="17"/>
      <c r="C603" s="17"/>
    </row>
    <row r="604">
      <c r="B604" s="17"/>
      <c r="C604" s="17"/>
    </row>
    <row r="605">
      <c r="B605" s="17"/>
      <c r="C605" s="17"/>
    </row>
    <row r="606">
      <c r="B606" s="17"/>
      <c r="C606" s="17"/>
    </row>
    <row r="607">
      <c r="B607" s="17"/>
      <c r="C607" s="17"/>
    </row>
    <row r="608">
      <c r="B608" s="17"/>
      <c r="C608" s="17"/>
    </row>
    <row r="609">
      <c r="B609" s="17"/>
      <c r="C609" s="17"/>
    </row>
    <row r="610">
      <c r="B610" s="17"/>
      <c r="C610" s="17"/>
    </row>
    <row r="611">
      <c r="B611" s="17"/>
      <c r="C611" s="17"/>
    </row>
    <row r="612">
      <c r="B612" s="17"/>
      <c r="C612" s="17"/>
    </row>
    <row r="613">
      <c r="B613" s="17"/>
      <c r="C613" s="17"/>
    </row>
    <row r="614">
      <c r="B614" s="17"/>
      <c r="C614" s="17"/>
    </row>
    <row r="615">
      <c r="B615" s="17"/>
      <c r="C615" s="17"/>
    </row>
    <row r="616">
      <c r="B616" s="17"/>
      <c r="C616" s="17"/>
    </row>
    <row r="617">
      <c r="B617" s="17"/>
      <c r="C617" s="17"/>
    </row>
    <row r="618">
      <c r="B618" s="17"/>
      <c r="C618" s="17"/>
    </row>
    <row r="619">
      <c r="B619" s="17"/>
      <c r="C619" s="17"/>
    </row>
    <row r="620">
      <c r="B620" s="17"/>
      <c r="C620" s="17"/>
    </row>
    <row r="621">
      <c r="B621" s="17"/>
      <c r="C621" s="17"/>
    </row>
    <row r="622">
      <c r="B622" s="17"/>
      <c r="C622" s="17"/>
    </row>
    <row r="623">
      <c r="B623" s="17"/>
      <c r="C623" s="17"/>
    </row>
    <row r="624">
      <c r="B624" s="17"/>
      <c r="C624" s="17"/>
    </row>
    <row r="625">
      <c r="B625" s="17"/>
      <c r="C625" s="17"/>
    </row>
    <row r="626">
      <c r="B626" s="17"/>
      <c r="C626" s="17"/>
    </row>
    <row r="627">
      <c r="B627" s="17"/>
      <c r="C627" s="17"/>
    </row>
    <row r="628">
      <c r="B628" s="17"/>
      <c r="C628" s="17"/>
    </row>
    <row r="629">
      <c r="B629" s="17"/>
      <c r="C629" s="17"/>
    </row>
    <row r="630">
      <c r="B630" s="17"/>
      <c r="C630" s="17"/>
    </row>
    <row r="631">
      <c r="B631" s="17"/>
      <c r="C631" s="17"/>
    </row>
    <row r="632">
      <c r="B632" s="17"/>
      <c r="C632" s="17"/>
    </row>
    <row r="633">
      <c r="B633" s="17"/>
      <c r="C633" s="17"/>
    </row>
    <row r="634">
      <c r="B634" s="17"/>
      <c r="C634" s="17"/>
    </row>
    <row r="635">
      <c r="B635" s="17"/>
      <c r="C635" s="17"/>
    </row>
    <row r="636">
      <c r="B636" s="17"/>
      <c r="C636" s="17"/>
    </row>
    <row r="637">
      <c r="B637" s="17"/>
      <c r="C637" s="17"/>
    </row>
    <row r="638">
      <c r="B638" s="17"/>
      <c r="C638" s="17"/>
    </row>
    <row r="639">
      <c r="B639" s="17"/>
      <c r="C639" s="17"/>
    </row>
    <row r="640">
      <c r="B640" s="17"/>
      <c r="C640" s="17"/>
    </row>
    <row r="641">
      <c r="B641" s="17"/>
      <c r="C641" s="17"/>
    </row>
    <row r="642">
      <c r="B642" s="17"/>
      <c r="C642" s="17"/>
    </row>
    <row r="643">
      <c r="B643" s="17"/>
      <c r="C643" s="17"/>
    </row>
    <row r="644">
      <c r="B644" s="17"/>
      <c r="C644" s="17"/>
    </row>
    <row r="645">
      <c r="B645" s="17"/>
      <c r="C645" s="17"/>
    </row>
    <row r="646">
      <c r="B646" s="17"/>
      <c r="C646" s="17"/>
    </row>
    <row r="647">
      <c r="B647" s="17"/>
      <c r="C647" s="17"/>
    </row>
    <row r="648">
      <c r="B648" s="17"/>
      <c r="C648" s="17"/>
    </row>
    <row r="649">
      <c r="B649" s="17"/>
      <c r="C649" s="17"/>
    </row>
    <row r="650">
      <c r="B650" s="17"/>
      <c r="C650" s="17"/>
    </row>
    <row r="651">
      <c r="B651" s="17"/>
      <c r="C651" s="17"/>
    </row>
    <row r="652">
      <c r="B652" s="17"/>
      <c r="C652" s="17"/>
    </row>
    <row r="653">
      <c r="B653" s="17"/>
      <c r="C653" s="17"/>
    </row>
    <row r="654">
      <c r="B654" s="17"/>
      <c r="C654" s="17"/>
    </row>
    <row r="655">
      <c r="B655" s="17"/>
      <c r="C655" s="17"/>
    </row>
    <row r="656">
      <c r="B656" s="17"/>
      <c r="C656" s="17"/>
    </row>
    <row r="657">
      <c r="B657" s="17"/>
      <c r="C657" s="17"/>
    </row>
    <row r="658">
      <c r="B658" s="17"/>
      <c r="C658" s="17"/>
    </row>
    <row r="659">
      <c r="B659" s="17"/>
      <c r="C659" s="17"/>
    </row>
    <row r="660">
      <c r="B660" s="17"/>
      <c r="C660" s="17"/>
    </row>
    <row r="661">
      <c r="B661" s="17"/>
      <c r="C661" s="17"/>
    </row>
    <row r="662">
      <c r="B662" s="17"/>
      <c r="C662" s="17"/>
    </row>
    <row r="663">
      <c r="B663" s="17"/>
      <c r="C663" s="17"/>
    </row>
    <row r="664">
      <c r="B664" s="17"/>
      <c r="C664" s="17"/>
    </row>
    <row r="665">
      <c r="B665" s="17"/>
      <c r="C665" s="17"/>
    </row>
    <row r="666">
      <c r="B666" s="17"/>
      <c r="C666" s="17"/>
    </row>
    <row r="667">
      <c r="B667" s="17"/>
      <c r="C667" s="17"/>
    </row>
    <row r="668">
      <c r="B668" s="17"/>
      <c r="C668" s="17"/>
    </row>
    <row r="669">
      <c r="B669" s="17"/>
      <c r="C669" s="17"/>
    </row>
    <row r="670">
      <c r="B670" s="17"/>
      <c r="C670" s="17"/>
    </row>
    <row r="671">
      <c r="B671" s="17"/>
      <c r="C671" s="17"/>
    </row>
    <row r="672">
      <c r="B672" s="17"/>
      <c r="C672" s="17"/>
    </row>
    <row r="673">
      <c r="B673" s="17"/>
      <c r="C673" s="17"/>
    </row>
    <row r="674">
      <c r="B674" s="17"/>
      <c r="C674" s="17"/>
    </row>
    <row r="675">
      <c r="B675" s="17"/>
      <c r="C675" s="17"/>
    </row>
    <row r="676">
      <c r="B676" s="17"/>
      <c r="C676" s="17"/>
    </row>
    <row r="677">
      <c r="B677" s="17"/>
      <c r="C677" s="17"/>
    </row>
    <row r="678">
      <c r="B678" s="17"/>
      <c r="C678" s="17"/>
    </row>
    <row r="679">
      <c r="B679" s="17"/>
      <c r="C679" s="17"/>
    </row>
    <row r="680">
      <c r="B680" s="17"/>
      <c r="C680" s="17"/>
    </row>
    <row r="681">
      <c r="B681" s="17"/>
      <c r="C681" s="17"/>
    </row>
    <row r="682">
      <c r="B682" s="17"/>
      <c r="C682" s="17"/>
    </row>
    <row r="683">
      <c r="B683" s="17"/>
      <c r="C683" s="17"/>
    </row>
    <row r="684">
      <c r="B684" s="17"/>
      <c r="C684" s="17"/>
    </row>
    <row r="685">
      <c r="B685" s="17"/>
      <c r="C685" s="17"/>
    </row>
    <row r="686">
      <c r="B686" s="17"/>
      <c r="C686" s="17"/>
    </row>
    <row r="687">
      <c r="B687" s="17"/>
      <c r="C687" s="17"/>
    </row>
    <row r="688">
      <c r="B688" s="17"/>
      <c r="C688" s="17"/>
    </row>
    <row r="689">
      <c r="B689" s="17"/>
      <c r="C689" s="17"/>
    </row>
    <row r="690">
      <c r="B690" s="17"/>
      <c r="C690" s="17"/>
    </row>
    <row r="691">
      <c r="B691" s="17"/>
      <c r="C691" s="17"/>
    </row>
    <row r="692">
      <c r="B692" s="17"/>
      <c r="C692" s="17"/>
    </row>
    <row r="693">
      <c r="B693" s="17"/>
      <c r="C693" s="17"/>
    </row>
    <row r="694">
      <c r="B694" s="17"/>
      <c r="C694" s="17"/>
    </row>
    <row r="695">
      <c r="B695" s="17"/>
      <c r="C695" s="17"/>
    </row>
    <row r="696">
      <c r="B696" s="17"/>
      <c r="C696" s="17"/>
    </row>
    <row r="697">
      <c r="B697" s="17"/>
      <c r="C697" s="17"/>
    </row>
    <row r="698">
      <c r="B698" s="17"/>
      <c r="C698" s="17"/>
    </row>
    <row r="699">
      <c r="B699" s="17"/>
      <c r="C699" s="17"/>
    </row>
    <row r="700">
      <c r="B700" s="17"/>
      <c r="C700" s="17"/>
    </row>
    <row r="701">
      <c r="B701" s="17"/>
      <c r="C701" s="17"/>
    </row>
    <row r="702">
      <c r="B702" s="17"/>
      <c r="C702" s="17"/>
    </row>
    <row r="703">
      <c r="B703" s="17"/>
      <c r="C703" s="17"/>
    </row>
    <row r="704">
      <c r="B704" s="17"/>
      <c r="C704" s="17"/>
    </row>
    <row r="705">
      <c r="B705" s="17"/>
      <c r="C705" s="17"/>
    </row>
    <row r="706">
      <c r="B706" s="17"/>
      <c r="C706" s="17"/>
    </row>
    <row r="707">
      <c r="B707" s="17"/>
      <c r="C707" s="17"/>
    </row>
    <row r="708">
      <c r="B708" s="17"/>
      <c r="C708" s="17"/>
    </row>
    <row r="709">
      <c r="B709" s="17"/>
      <c r="C709" s="17"/>
    </row>
    <row r="710">
      <c r="B710" s="17"/>
      <c r="C710" s="17"/>
    </row>
    <row r="711">
      <c r="B711" s="17"/>
      <c r="C711" s="17"/>
    </row>
    <row r="712">
      <c r="B712" s="17"/>
      <c r="C712" s="17"/>
    </row>
    <row r="713">
      <c r="B713" s="17"/>
      <c r="C713" s="17"/>
    </row>
    <row r="714">
      <c r="B714" s="17"/>
      <c r="C714" s="17"/>
    </row>
    <row r="715">
      <c r="B715" s="17"/>
      <c r="C715" s="17"/>
    </row>
    <row r="716">
      <c r="B716" s="17"/>
      <c r="C716" s="17"/>
    </row>
    <row r="717">
      <c r="B717" s="17"/>
      <c r="C717" s="17"/>
    </row>
    <row r="718">
      <c r="B718" s="17"/>
      <c r="C718" s="17"/>
    </row>
    <row r="719">
      <c r="B719" s="17"/>
      <c r="C719" s="17"/>
    </row>
    <row r="720">
      <c r="B720" s="17"/>
      <c r="C720" s="17"/>
    </row>
    <row r="721">
      <c r="B721" s="17"/>
      <c r="C721" s="17"/>
    </row>
    <row r="722">
      <c r="B722" s="17"/>
      <c r="C722" s="17"/>
    </row>
    <row r="723">
      <c r="B723" s="17"/>
      <c r="C723" s="17"/>
    </row>
    <row r="724">
      <c r="B724" s="17"/>
      <c r="C724" s="17"/>
    </row>
    <row r="725">
      <c r="B725" s="17"/>
      <c r="C725" s="17"/>
    </row>
    <row r="726">
      <c r="B726" s="17"/>
      <c r="C726" s="17"/>
    </row>
    <row r="727">
      <c r="B727" s="17"/>
      <c r="C727" s="17"/>
    </row>
    <row r="728">
      <c r="B728" s="17"/>
      <c r="C728" s="17"/>
    </row>
    <row r="729">
      <c r="B729" s="17"/>
      <c r="C729" s="17"/>
    </row>
    <row r="730">
      <c r="B730" s="17"/>
      <c r="C730" s="17"/>
    </row>
    <row r="731">
      <c r="B731" s="17"/>
      <c r="C731" s="17"/>
    </row>
    <row r="732">
      <c r="B732" s="17"/>
      <c r="C732" s="17"/>
    </row>
    <row r="733">
      <c r="B733" s="17"/>
      <c r="C733" s="17"/>
    </row>
    <row r="734">
      <c r="B734" s="17"/>
      <c r="C734" s="17"/>
    </row>
    <row r="735">
      <c r="B735" s="17"/>
      <c r="C735" s="17"/>
    </row>
    <row r="736">
      <c r="B736" s="17"/>
      <c r="C736" s="17"/>
    </row>
    <row r="737">
      <c r="B737" s="17"/>
      <c r="C737" s="17"/>
    </row>
    <row r="738">
      <c r="B738" s="17"/>
      <c r="C738" s="17"/>
    </row>
    <row r="739">
      <c r="B739" s="17"/>
      <c r="C739" s="17"/>
    </row>
    <row r="740">
      <c r="B740" s="17"/>
      <c r="C740" s="17"/>
    </row>
    <row r="741">
      <c r="B741" s="17"/>
      <c r="C741" s="17"/>
    </row>
    <row r="742">
      <c r="B742" s="17"/>
      <c r="C742" s="17"/>
    </row>
    <row r="743">
      <c r="B743" s="17"/>
      <c r="C743" s="17"/>
    </row>
    <row r="744">
      <c r="B744" s="17"/>
      <c r="C744" s="17"/>
    </row>
    <row r="745">
      <c r="B745" s="17"/>
      <c r="C745" s="17"/>
    </row>
    <row r="746">
      <c r="B746" s="17"/>
      <c r="C746" s="17"/>
    </row>
    <row r="747">
      <c r="B747" s="17"/>
      <c r="C747" s="17"/>
    </row>
    <row r="748">
      <c r="B748" s="17"/>
      <c r="C748" s="17"/>
    </row>
    <row r="749">
      <c r="B749" s="17"/>
      <c r="C749" s="17"/>
    </row>
    <row r="750">
      <c r="B750" s="17"/>
      <c r="C750" s="17"/>
    </row>
    <row r="751">
      <c r="B751" s="17"/>
      <c r="C751" s="17"/>
    </row>
    <row r="752">
      <c r="B752" s="17"/>
      <c r="C752" s="17"/>
    </row>
    <row r="753">
      <c r="B753" s="17"/>
      <c r="C753" s="17"/>
    </row>
    <row r="754">
      <c r="B754" s="17"/>
      <c r="C754" s="17"/>
    </row>
    <row r="755">
      <c r="B755" s="17"/>
      <c r="C755" s="17"/>
    </row>
    <row r="756">
      <c r="B756" s="17"/>
      <c r="C756" s="17"/>
    </row>
    <row r="757">
      <c r="B757" s="17"/>
      <c r="C757" s="17"/>
    </row>
    <row r="758">
      <c r="B758" s="17"/>
      <c r="C758" s="17"/>
    </row>
    <row r="759">
      <c r="B759" s="17"/>
      <c r="C759" s="17"/>
    </row>
    <row r="760">
      <c r="B760" s="17"/>
      <c r="C760" s="17"/>
    </row>
    <row r="761">
      <c r="B761" s="17"/>
      <c r="C761" s="17"/>
    </row>
    <row r="762">
      <c r="B762" s="17"/>
      <c r="C762" s="17"/>
    </row>
    <row r="763">
      <c r="B763" s="17"/>
      <c r="C763" s="17"/>
    </row>
    <row r="764">
      <c r="B764" s="17"/>
      <c r="C764" s="17"/>
    </row>
    <row r="765">
      <c r="B765" s="17"/>
      <c r="C765" s="17"/>
    </row>
    <row r="766">
      <c r="B766" s="17"/>
      <c r="C766" s="17"/>
    </row>
    <row r="767">
      <c r="B767" s="17"/>
      <c r="C767" s="17"/>
    </row>
    <row r="768">
      <c r="B768" s="17"/>
      <c r="C768" s="17"/>
    </row>
    <row r="769">
      <c r="B769" s="17"/>
      <c r="C769" s="17"/>
    </row>
    <row r="770">
      <c r="B770" s="17"/>
      <c r="C770" s="17"/>
    </row>
    <row r="771">
      <c r="B771" s="17"/>
      <c r="C771" s="17"/>
    </row>
    <row r="772">
      <c r="B772" s="17"/>
      <c r="C772" s="17"/>
    </row>
    <row r="773">
      <c r="B773" s="17"/>
      <c r="C773" s="17"/>
    </row>
    <row r="774">
      <c r="B774" s="17"/>
      <c r="C774" s="17"/>
    </row>
    <row r="775">
      <c r="B775" s="17"/>
      <c r="C775" s="17"/>
    </row>
    <row r="776">
      <c r="B776" s="17"/>
      <c r="C776" s="17"/>
    </row>
    <row r="777">
      <c r="B777" s="17"/>
      <c r="C777" s="17"/>
    </row>
    <row r="778">
      <c r="B778" s="17"/>
      <c r="C778" s="17"/>
    </row>
    <row r="779">
      <c r="B779" s="17"/>
      <c r="C779" s="17"/>
    </row>
    <row r="780">
      <c r="B780" s="17"/>
      <c r="C780" s="17"/>
    </row>
    <row r="781">
      <c r="B781" s="17"/>
      <c r="C781" s="17"/>
    </row>
    <row r="782">
      <c r="B782" s="17"/>
      <c r="C782" s="17"/>
    </row>
    <row r="783">
      <c r="B783" s="17"/>
      <c r="C783" s="17"/>
    </row>
    <row r="784">
      <c r="B784" s="17"/>
      <c r="C784" s="17"/>
    </row>
    <row r="785">
      <c r="B785" s="17"/>
      <c r="C785" s="17"/>
    </row>
    <row r="786">
      <c r="B786" s="17"/>
      <c r="C786" s="17"/>
    </row>
    <row r="787">
      <c r="B787" s="17"/>
      <c r="C787" s="17"/>
    </row>
    <row r="788">
      <c r="B788" s="17"/>
      <c r="C788" s="17"/>
    </row>
    <row r="789">
      <c r="B789" s="17"/>
      <c r="C789" s="17"/>
    </row>
    <row r="790">
      <c r="B790" s="17"/>
      <c r="C790" s="17"/>
    </row>
    <row r="791">
      <c r="B791" s="17"/>
      <c r="C791" s="17"/>
    </row>
    <row r="792">
      <c r="B792" s="17"/>
      <c r="C792" s="17"/>
    </row>
    <row r="793">
      <c r="B793" s="17"/>
      <c r="C793" s="17"/>
    </row>
    <row r="794">
      <c r="B794" s="17"/>
      <c r="C794" s="17"/>
    </row>
    <row r="795">
      <c r="B795" s="17"/>
      <c r="C795" s="17"/>
    </row>
    <row r="796">
      <c r="B796" s="17"/>
      <c r="C796" s="17"/>
    </row>
    <row r="797">
      <c r="B797" s="17"/>
      <c r="C797" s="17"/>
    </row>
    <row r="798">
      <c r="B798" s="17"/>
      <c r="C798" s="17"/>
    </row>
    <row r="799">
      <c r="B799" s="17"/>
      <c r="C799" s="17"/>
    </row>
    <row r="800">
      <c r="B800" s="17"/>
      <c r="C800" s="17"/>
    </row>
    <row r="801">
      <c r="B801" s="17"/>
      <c r="C801" s="17"/>
    </row>
    <row r="802">
      <c r="B802" s="17"/>
      <c r="C802" s="17"/>
    </row>
    <row r="803">
      <c r="B803" s="17"/>
      <c r="C803" s="17"/>
    </row>
    <row r="804">
      <c r="B804" s="17"/>
      <c r="C804" s="17"/>
    </row>
    <row r="805">
      <c r="B805" s="17"/>
      <c r="C805" s="17"/>
    </row>
    <row r="806">
      <c r="B806" s="17"/>
      <c r="C806" s="17"/>
    </row>
    <row r="807">
      <c r="B807" s="17"/>
      <c r="C807" s="17"/>
    </row>
    <row r="808">
      <c r="B808" s="17"/>
      <c r="C808" s="17"/>
    </row>
    <row r="809">
      <c r="B809" s="17"/>
      <c r="C809" s="17"/>
    </row>
    <row r="810">
      <c r="B810" s="17"/>
      <c r="C810" s="17"/>
    </row>
    <row r="811">
      <c r="B811" s="17"/>
      <c r="C811" s="17"/>
    </row>
    <row r="812">
      <c r="B812" s="17"/>
      <c r="C812" s="17"/>
    </row>
    <row r="813">
      <c r="B813" s="17"/>
      <c r="C813" s="17"/>
    </row>
    <row r="814">
      <c r="B814" s="17"/>
      <c r="C814" s="17"/>
    </row>
    <row r="815">
      <c r="B815" s="17"/>
      <c r="C815" s="17"/>
    </row>
    <row r="816">
      <c r="B816" s="17"/>
      <c r="C816" s="17"/>
    </row>
    <row r="817">
      <c r="B817" s="17"/>
      <c r="C817" s="17"/>
    </row>
    <row r="818">
      <c r="B818" s="17"/>
      <c r="C818" s="17"/>
    </row>
    <row r="819">
      <c r="B819" s="17"/>
      <c r="C819" s="17"/>
    </row>
    <row r="820">
      <c r="B820" s="17"/>
      <c r="C820" s="17"/>
    </row>
    <row r="821">
      <c r="B821" s="17"/>
      <c r="C821" s="17"/>
    </row>
    <row r="822">
      <c r="B822" s="17"/>
      <c r="C822" s="17"/>
    </row>
    <row r="823">
      <c r="B823" s="17"/>
      <c r="C823" s="17"/>
    </row>
    <row r="824">
      <c r="B824" s="17"/>
      <c r="C824" s="17"/>
    </row>
    <row r="825">
      <c r="B825" s="17"/>
      <c r="C825" s="17"/>
    </row>
    <row r="826">
      <c r="B826" s="17"/>
      <c r="C826" s="17"/>
    </row>
    <row r="827">
      <c r="B827" s="17"/>
      <c r="C827" s="17"/>
    </row>
    <row r="828">
      <c r="B828" s="17"/>
      <c r="C828" s="17"/>
    </row>
    <row r="829">
      <c r="B829" s="17"/>
      <c r="C829" s="17"/>
    </row>
    <row r="830">
      <c r="B830" s="17"/>
      <c r="C830" s="17"/>
    </row>
    <row r="831">
      <c r="B831" s="17"/>
      <c r="C831" s="17"/>
    </row>
    <row r="832">
      <c r="B832" s="17"/>
      <c r="C832" s="17"/>
    </row>
    <row r="833">
      <c r="B833" s="17"/>
      <c r="C833" s="17"/>
    </row>
    <row r="834">
      <c r="B834" s="17"/>
      <c r="C834" s="17"/>
    </row>
    <row r="835">
      <c r="B835" s="17"/>
      <c r="C835" s="17"/>
    </row>
    <row r="836">
      <c r="B836" s="17"/>
      <c r="C836" s="17"/>
    </row>
    <row r="837">
      <c r="B837" s="17"/>
      <c r="C837" s="17"/>
    </row>
    <row r="838">
      <c r="B838" s="17"/>
      <c r="C838" s="17"/>
    </row>
    <row r="839">
      <c r="B839" s="17"/>
      <c r="C839" s="17"/>
    </row>
    <row r="840">
      <c r="B840" s="17"/>
      <c r="C840" s="17"/>
    </row>
    <row r="841">
      <c r="B841" s="17"/>
      <c r="C841" s="17"/>
    </row>
    <row r="842">
      <c r="B842" s="17"/>
      <c r="C842" s="17"/>
    </row>
    <row r="843">
      <c r="B843" s="17"/>
      <c r="C843" s="17"/>
    </row>
    <row r="844">
      <c r="B844" s="17"/>
      <c r="C844" s="17"/>
    </row>
    <row r="845">
      <c r="B845" s="17"/>
      <c r="C845" s="17"/>
    </row>
    <row r="846">
      <c r="B846" s="17"/>
      <c r="C846" s="17"/>
    </row>
    <row r="847">
      <c r="B847" s="17"/>
      <c r="C847" s="17"/>
    </row>
    <row r="848">
      <c r="B848" s="17"/>
      <c r="C848" s="17"/>
    </row>
    <row r="849">
      <c r="B849" s="17"/>
      <c r="C849" s="17"/>
    </row>
    <row r="850">
      <c r="B850" s="17"/>
      <c r="C850" s="17"/>
    </row>
    <row r="851">
      <c r="B851" s="17"/>
      <c r="C851" s="17"/>
    </row>
    <row r="852">
      <c r="B852" s="17"/>
      <c r="C852" s="17"/>
    </row>
    <row r="853">
      <c r="B853" s="17"/>
      <c r="C853" s="17"/>
    </row>
    <row r="854">
      <c r="B854" s="17"/>
      <c r="C854" s="17"/>
    </row>
    <row r="855">
      <c r="B855" s="17"/>
      <c r="C855" s="17"/>
    </row>
    <row r="856">
      <c r="B856" s="17"/>
      <c r="C856" s="17"/>
    </row>
    <row r="857">
      <c r="B857" s="17"/>
      <c r="C857" s="17"/>
    </row>
    <row r="858">
      <c r="B858" s="17"/>
      <c r="C858" s="17"/>
    </row>
    <row r="859">
      <c r="B859" s="17"/>
      <c r="C859" s="17"/>
    </row>
    <row r="860">
      <c r="B860" s="17"/>
      <c r="C860" s="17"/>
    </row>
    <row r="861">
      <c r="B861" s="17"/>
      <c r="C861" s="17"/>
    </row>
    <row r="862">
      <c r="B862" s="17"/>
      <c r="C862" s="17"/>
    </row>
    <row r="863">
      <c r="B863" s="17"/>
      <c r="C863" s="17"/>
    </row>
    <row r="864">
      <c r="B864" s="17"/>
      <c r="C864" s="17"/>
    </row>
    <row r="865">
      <c r="B865" s="17"/>
      <c r="C865" s="17"/>
    </row>
    <row r="866">
      <c r="B866" s="17"/>
      <c r="C866" s="17"/>
    </row>
    <row r="867">
      <c r="B867" s="17"/>
      <c r="C867" s="17"/>
    </row>
    <row r="868">
      <c r="B868" s="17"/>
      <c r="C868" s="17"/>
    </row>
    <row r="869">
      <c r="B869" s="17"/>
      <c r="C869" s="17"/>
    </row>
    <row r="870">
      <c r="B870" s="17"/>
      <c r="C870" s="17"/>
    </row>
    <row r="871">
      <c r="B871" s="17"/>
      <c r="C871" s="17"/>
    </row>
    <row r="872">
      <c r="B872" s="17"/>
      <c r="C872" s="17"/>
    </row>
    <row r="873">
      <c r="B873" s="17"/>
      <c r="C873" s="17"/>
    </row>
    <row r="874">
      <c r="B874" s="17"/>
      <c r="C874" s="17"/>
    </row>
    <row r="875">
      <c r="B875" s="17"/>
      <c r="C875" s="17"/>
    </row>
    <row r="876">
      <c r="B876" s="17"/>
      <c r="C876" s="17"/>
    </row>
    <row r="877">
      <c r="B877" s="17"/>
      <c r="C877" s="17"/>
    </row>
    <row r="878">
      <c r="B878" s="17"/>
      <c r="C878" s="17"/>
    </row>
    <row r="879">
      <c r="B879" s="17"/>
      <c r="C879" s="17"/>
    </row>
    <row r="880">
      <c r="B880" s="17"/>
      <c r="C880" s="17"/>
    </row>
    <row r="881">
      <c r="B881" s="17"/>
      <c r="C881" s="17"/>
    </row>
    <row r="882">
      <c r="B882" s="17"/>
      <c r="C882" s="17"/>
    </row>
    <row r="883">
      <c r="B883" s="17"/>
      <c r="C883" s="17"/>
    </row>
    <row r="884">
      <c r="B884" s="17"/>
      <c r="C884" s="17"/>
    </row>
    <row r="885">
      <c r="B885" s="17"/>
      <c r="C885" s="17"/>
    </row>
    <row r="886">
      <c r="B886" s="17"/>
      <c r="C886" s="17"/>
    </row>
    <row r="887">
      <c r="B887" s="17"/>
      <c r="C887" s="17"/>
    </row>
    <row r="888">
      <c r="B888" s="17"/>
      <c r="C888" s="17"/>
    </row>
    <row r="889">
      <c r="B889" s="17"/>
      <c r="C889" s="17"/>
    </row>
    <row r="890">
      <c r="B890" s="17"/>
      <c r="C890" s="17"/>
    </row>
    <row r="891">
      <c r="B891" s="17"/>
      <c r="C891" s="17"/>
    </row>
    <row r="892">
      <c r="B892" s="17"/>
      <c r="C892" s="17"/>
    </row>
    <row r="893">
      <c r="B893" s="17"/>
      <c r="C893" s="17"/>
    </row>
    <row r="894">
      <c r="B894" s="17"/>
      <c r="C894" s="17"/>
    </row>
    <row r="895">
      <c r="B895" s="17"/>
      <c r="C895" s="17"/>
    </row>
    <row r="896">
      <c r="B896" s="17"/>
      <c r="C896" s="17"/>
    </row>
    <row r="897">
      <c r="B897" s="17"/>
      <c r="C897" s="17"/>
    </row>
    <row r="898">
      <c r="B898" s="17"/>
      <c r="C898" s="17"/>
    </row>
    <row r="899">
      <c r="B899" s="17"/>
      <c r="C899" s="17"/>
    </row>
    <row r="900">
      <c r="B900" s="17"/>
      <c r="C900" s="17"/>
    </row>
    <row r="901">
      <c r="B901" s="17"/>
      <c r="C901" s="17"/>
    </row>
    <row r="902">
      <c r="B902" s="17"/>
      <c r="C902" s="17"/>
    </row>
    <row r="903">
      <c r="B903" s="17"/>
      <c r="C903" s="17"/>
    </row>
    <row r="904">
      <c r="B904" s="17"/>
      <c r="C904" s="17"/>
    </row>
    <row r="905">
      <c r="B905" s="17"/>
      <c r="C905" s="17"/>
    </row>
    <row r="906">
      <c r="B906" s="17"/>
      <c r="C906" s="17"/>
    </row>
    <row r="907">
      <c r="B907" s="17"/>
      <c r="C907" s="17"/>
    </row>
    <row r="908">
      <c r="B908" s="17"/>
      <c r="C908" s="17"/>
    </row>
    <row r="909">
      <c r="B909" s="17"/>
      <c r="C909" s="17"/>
    </row>
    <row r="910">
      <c r="B910" s="17"/>
      <c r="C910" s="17"/>
    </row>
    <row r="911">
      <c r="B911" s="17"/>
      <c r="C911" s="17"/>
    </row>
    <row r="912">
      <c r="B912" s="17"/>
      <c r="C912" s="17"/>
    </row>
    <row r="913">
      <c r="B913" s="17"/>
      <c r="C913" s="17"/>
    </row>
    <row r="914">
      <c r="B914" s="17"/>
      <c r="C914" s="17"/>
    </row>
    <row r="915">
      <c r="B915" s="17"/>
      <c r="C915" s="17"/>
    </row>
    <row r="916">
      <c r="B916" s="17"/>
      <c r="C916" s="17"/>
    </row>
    <row r="917">
      <c r="B917" s="17"/>
      <c r="C917" s="17"/>
    </row>
    <row r="918">
      <c r="B918" s="17"/>
      <c r="C918" s="17"/>
    </row>
    <row r="919">
      <c r="B919" s="17"/>
      <c r="C919" s="17"/>
    </row>
    <row r="920">
      <c r="B920" s="17"/>
      <c r="C920" s="17"/>
    </row>
    <row r="921">
      <c r="B921" s="17"/>
      <c r="C921" s="17"/>
    </row>
    <row r="922">
      <c r="B922" s="17"/>
      <c r="C922" s="17"/>
    </row>
    <row r="923">
      <c r="B923" s="17"/>
      <c r="C923" s="17"/>
    </row>
    <row r="924">
      <c r="B924" s="17"/>
      <c r="C924" s="17"/>
    </row>
    <row r="925">
      <c r="B925" s="17"/>
      <c r="C925" s="17"/>
    </row>
    <row r="926">
      <c r="B926" s="17"/>
      <c r="C926" s="17"/>
    </row>
    <row r="927">
      <c r="B927" s="17"/>
      <c r="C927" s="17"/>
    </row>
    <row r="928">
      <c r="B928" s="17"/>
      <c r="C928" s="17"/>
    </row>
    <row r="929">
      <c r="B929" s="17"/>
      <c r="C929" s="17"/>
    </row>
    <row r="930">
      <c r="B930" s="17"/>
      <c r="C930" s="17"/>
    </row>
    <row r="931">
      <c r="B931" s="17"/>
      <c r="C931" s="17"/>
    </row>
    <row r="932">
      <c r="B932" s="17"/>
      <c r="C932" s="17"/>
    </row>
    <row r="933">
      <c r="B933" s="17"/>
      <c r="C933" s="17"/>
    </row>
    <row r="934">
      <c r="B934" s="17"/>
      <c r="C934" s="17"/>
    </row>
    <row r="935">
      <c r="B935" s="17"/>
      <c r="C935" s="17"/>
    </row>
    <row r="936">
      <c r="B936" s="17"/>
      <c r="C936" s="17"/>
    </row>
    <row r="937">
      <c r="B937" s="17"/>
      <c r="C937" s="17"/>
    </row>
    <row r="938">
      <c r="B938" s="17"/>
      <c r="C938" s="17"/>
    </row>
    <row r="939">
      <c r="B939" s="17"/>
      <c r="C939" s="17"/>
    </row>
    <row r="940">
      <c r="B940" s="17"/>
      <c r="C940" s="17"/>
    </row>
    <row r="941">
      <c r="B941" s="17"/>
      <c r="C941" s="17"/>
    </row>
    <row r="942">
      <c r="B942" s="17"/>
      <c r="C942" s="17"/>
    </row>
    <row r="943">
      <c r="B943" s="17"/>
      <c r="C943" s="17"/>
    </row>
    <row r="944">
      <c r="B944" s="17"/>
      <c r="C944" s="17"/>
    </row>
    <row r="945">
      <c r="B945" s="17"/>
      <c r="C945" s="17"/>
    </row>
    <row r="946">
      <c r="B946" s="17"/>
      <c r="C946" s="17"/>
    </row>
    <row r="947">
      <c r="B947" s="17"/>
      <c r="C947" s="17"/>
    </row>
    <row r="948">
      <c r="B948" s="17"/>
      <c r="C948" s="17"/>
    </row>
    <row r="949">
      <c r="B949" s="17"/>
      <c r="C949" s="17"/>
    </row>
    <row r="950">
      <c r="B950" s="17"/>
      <c r="C950" s="17"/>
    </row>
    <row r="951">
      <c r="B951" s="17"/>
      <c r="C951" s="17"/>
    </row>
    <row r="952">
      <c r="B952" s="17"/>
      <c r="C952" s="17"/>
    </row>
    <row r="953">
      <c r="B953" s="17"/>
      <c r="C953" s="17"/>
    </row>
    <row r="954">
      <c r="B954" s="17"/>
      <c r="C954" s="17"/>
    </row>
    <row r="955">
      <c r="B955" s="17"/>
      <c r="C955" s="17"/>
    </row>
    <row r="956">
      <c r="B956" s="17"/>
      <c r="C956" s="17"/>
    </row>
    <row r="957">
      <c r="B957" s="17"/>
      <c r="C957" s="17"/>
    </row>
    <row r="958">
      <c r="B958" s="17"/>
      <c r="C958" s="17"/>
    </row>
    <row r="959">
      <c r="B959" s="17"/>
      <c r="C959" s="17"/>
    </row>
    <row r="960">
      <c r="B960" s="17"/>
      <c r="C960" s="17"/>
    </row>
    <row r="961">
      <c r="B961" s="17"/>
      <c r="C961" s="17"/>
    </row>
    <row r="962">
      <c r="B962" s="17"/>
      <c r="C962" s="17"/>
    </row>
    <row r="963">
      <c r="B963" s="17"/>
      <c r="C963" s="17"/>
    </row>
    <row r="964">
      <c r="B964" s="17"/>
      <c r="C964" s="17"/>
    </row>
    <row r="965">
      <c r="B965" s="17"/>
      <c r="C965" s="17"/>
    </row>
    <row r="966">
      <c r="B966" s="17"/>
      <c r="C966" s="17"/>
    </row>
    <row r="967">
      <c r="B967" s="17"/>
      <c r="C967" s="17"/>
    </row>
    <row r="968">
      <c r="B968" s="17"/>
      <c r="C968" s="17"/>
    </row>
    <row r="969">
      <c r="B969" s="17"/>
      <c r="C969" s="17"/>
    </row>
    <row r="970">
      <c r="B970" s="17"/>
      <c r="C970" s="17"/>
    </row>
    <row r="971">
      <c r="B971" s="17"/>
      <c r="C971" s="17"/>
    </row>
    <row r="972">
      <c r="B972" s="17"/>
      <c r="C972" s="17"/>
    </row>
    <row r="973">
      <c r="B973" s="17"/>
      <c r="C973" s="17"/>
    </row>
    <row r="974">
      <c r="B974" s="17"/>
      <c r="C974" s="17"/>
    </row>
    <row r="975">
      <c r="B975" s="17"/>
      <c r="C975" s="17"/>
    </row>
    <row r="976">
      <c r="B976" s="17"/>
      <c r="C976" s="17"/>
    </row>
    <row r="977">
      <c r="B977" s="17"/>
      <c r="C977" s="17"/>
    </row>
    <row r="978">
      <c r="B978" s="17"/>
      <c r="C978" s="17"/>
    </row>
    <row r="979">
      <c r="B979" s="17"/>
      <c r="C979" s="17"/>
    </row>
    <row r="980">
      <c r="B980" s="17"/>
      <c r="C980" s="17"/>
    </row>
    <row r="981">
      <c r="B981" s="17"/>
      <c r="C981" s="17"/>
    </row>
    <row r="982">
      <c r="B982" s="17"/>
      <c r="C982" s="17"/>
    </row>
    <row r="983">
      <c r="B983" s="17"/>
      <c r="C983" s="17"/>
    </row>
    <row r="984">
      <c r="B984" s="17"/>
      <c r="C984" s="17"/>
    </row>
    <row r="985">
      <c r="B985" s="17"/>
      <c r="C985" s="17"/>
    </row>
    <row r="986">
      <c r="B986" s="17"/>
      <c r="C986" s="17"/>
    </row>
    <row r="987">
      <c r="B987" s="17"/>
      <c r="C987" s="17"/>
    </row>
    <row r="988">
      <c r="B988" s="17"/>
      <c r="C988" s="17"/>
    </row>
    <row r="989">
      <c r="B989" s="17"/>
      <c r="C989" s="17"/>
    </row>
    <row r="990">
      <c r="B990" s="17"/>
      <c r="C990" s="17"/>
    </row>
    <row r="991">
      <c r="B991" s="17"/>
      <c r="C991" s="17"/>
    </row>
    <row r="992">
      <c r="B992" s="17"/>
      <c r="C992" s="17"/>
    </row>
    <row r="993">
      <c r="B993" s="17"/>
      <c r="C993" s="17"/>
    </row>
    <row r="994">
      <c r="B994" s="17"/>
      <c r="C994" s="17"/>
    </row>
    <row r="995">
      <c r="B995" s="17"/>
      <c r="C995" s="17"/>
    </row>
    <row r="996">
      <c r="B996" s="17"/>
      <c r="C996" s="17"/>
    </row>
    <row r="997">
      <c r="B997" s="17"/>
      <c r="C997" s="17"/>
    </row>
    <row r="998">
      <c r="B998" s="17"/>
      <c r="C998" s="17"/>
    </row>
    <row r="999">
      <c r="B999" s="17"/>
      <c r="C999" s="17"/>
    </row>
    <row r="1000">
      <c r="B1000" s="17"/>
      <c r="C1000" s="17"/>
    </row>
    <row r="1001">
      <c r="B1001" s="17"/>
      <c r="C1001" s="17"/>
    </row>
    <row r="1002">
      <c r="B1002" s="17"/>
      <c r="C1002" s="17"/>
    </row>
    <row r="1003">
      <c r="B1003" s="17"/>
      <c r="C1003" s="17"/>
    </row>
    <row r="1004">
      <c r="B1004" s="17"/>
      <c r="C1004" s="17"/>
    </row>
    <row r="1005">
      <c r="B1005" s="17"/>
      <c r="C1005" s="17"/>
    </row>
    <row r="1006">
      <c r="B1006" s="17"/>
      <c r="C1006" s="17"/>
    </row>
    <row r="1007">
      <c r="B1007" s="17"/>
      <c r="C1007" s="17"/>
    </row>
    <row r="1008">
      <c r="B1008" s="17"/>
      <c r="C1008" s="17"/>
    </row>
  </sheetData>
  <conditionalFormatting sqref="B2:C121">
    <cfRule type="cellIs" dxfId="0" priority="1" operator="equal">
      <formula>"6c+"</formula>
    </cfRule>
  </conditionalFormatting>
  <conditionalFormatting sqref="B2:C121">
    <cfRule type="cellIs" dxfId="1" priority="2" operator="equal">
      <formula>"6c"</formula>
    </cfRule>
  </conditionalFormatting>
  <conditionalFormatting sqref="B2:C121">
    <cfRule type="cellIs" dxfId="2" priority="3" operator="equal">
      <formula>"7a"</formula>
    </cfRule>
  </conditionalFormatting>
  <conditionalFormatting sqref="B2:C121">
    <cfRule type="cellIs" dxfId="3" priority="4" operator="equal">
      <formula>"6c+/7a"</formula>
    </cfRule>
  </conditionalFormatting>
  <conditionalFormatting sqref="B2:C121">
    <cfRule type="cellIs" dxfId="4" priority="5" operator="equal">
      <formula>"7a+"</formula>
    </cfRule>
  </conditionalFormatting>
  <conditionalFormatting sqref="B2:C121">
    <cfRule type="cellIs" dxfId="5" priority="6" operator="equal">
      <formula>"7a+/b"</formula>
    </cfRule>
  </conditionalFormatting>
  <conditionalFormatting sqref="E2:E121">
    <cfRule type="cellIs" dxfId="6" priority="7" operator="equal">
      <formula>"OS"</formula>
    </cfRule>
  </conditionalFormatting>
  <conditionalFormatting sqref="E2:E121">
    <cfRule type="notContainsBlanks" dxfId="7" priority="8">
      <formula>LEN(TRIM(E2))&gt;0</formula>
    </cfRule>
  </conditionalFormatting>
  <conditionalFormatting sqref="D2:D121">
    <cfRule type="cellIs" dxfId="8" priority="9" operator="greaterThanOrEqual">
      <formula>20</formula>
    </cfRule>
  </conditionalFormatting>
  <conditionalFormatting sqref="D2:D121">
    <cfRule type="cellIs" dxfId="9" priority="10" operator="greaterThanOrEqual">
      <formula>10</formula>
    </cfRule>
  </conditionalFormatting>
  <conditionalFormatting sqref="D2:D121">
    <cfRule type="cellIs" dxfId="7" priority="11" operator="greaterThanOrEqual">
      <formula>3</formula>
    </cfRule>
  </conditionalFormatting>
  <conditionalFormatting sqref="D2:D121">
    <cfRule type="cellIs" dxfId="10" priority="12" operator="equal">
      <formula>2</formula>
    </cfRule>
  </conditionalFormatting>
  <conditionalFormatting sqref="D2:D121">
    <cfRule type="cellIs" dxfId="11" priority="13" operator="equal">
      <formula>1</formula>
    </cfRule>
  </conditionalFormatting>
  <conditionalFormatting sqref="B2:C121">
    <cfRule type="cellIs" dxfId="12" priority="14" operator="equal">
      <formula>"7b"</formula>
    </cfRule>
  </conditionalFormatting>
  <conditionalFormatting sqref="B78:B121 C81:C121">
    <cfRule type="cellIs" dxfId="13" priority="15" operator="equal">
      <formula>"7b+"</formula>
    </cfRule>
  </conditionalFormatting>
  <conditionalFormatting sqref="B2:C121">
    <cfRule type="cellIs" dxfId="14" priority="16" operator="equal">
      <formula>"7c"</formula>
    </cfRule>
  </conditionalFormatting>
  <conditionalFormatting sqref="C121">
    <cfRule type="containsText" dxfId="15" priority="17" operator="containsText" text="7b+/c">
      <formula>NOT(ISERROR(SEARCH(("7b+/c"),(C121))))</formula>
    </cfRule>
  </conditionalFormatting>
  <conditionalFormatting sqref="B121:C121">
    <cfRule type="cellIs" dxfId="16" priority="18" operator="equal">
      <formula>"7b+/c"</formula>
    </cfRule>
  </conditionalFormatting>
  <dataValidations>
    <dataValidation type="list" allowBlank="1" showErrorMessage="1" sqref="E2:E121">
      <formula1>"OS,RP,FL,REP"</formula1>
    </dataValidation>
    <dataValidation type="list" allowBlank="1" sqref="B2:C121">
      <formula1>SKALE!$A$1:$A$27</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5.25"/>
    <col customWidth="1" min="3" max="3" width="17.13"/>
    <col customWidth="1" min="4" max="4" width="18.0"/>
    <col customWidth="1" min="5" max="5" width="14.13"/>
    <col customWidth="1" min="6" max="6" width="13.75"/>
    <col customWidth="1" min="7" max="7" width="13.38"/>
    <col customWidth="1" min="8" max="8" width="23.63"/>
    <col customWidth="1" min="9" max="9" width="21.25"/>
    <col customWidth="1" min="10" max="10" width="60.38"/>
    <col customWidth="1" min="11" max="11" width="27.38"/>
  </cols>
  <sheetData>
    <row r="1" ht="30.75" customHeight="1">
      <c r="A1" s="18" t="s">
        <v>0</v>
      </c>
      <c r="B1" s="19" t="s">
        <v>4</v>
      </c>
      <c r="C1" s="20" t="s">
        <v>355</v>
      </c>
      <c r="D1" s="20" t="s">
        <v>356</v>
      </c>
      <c r="E1" s="19" t="s">
        <v>3</v>
      </c>
      <c r="F1" s="19" t="s">
        <v>5</v>
      </c>
      <c r="G1" s="19" t="s">
        <v>357</v>
      </c>
      <c r="H1" s="19" t="s">
        <v>6</v>
      </c>
      <c r="I1" s="19" t="s">
        <v>7</v>
      </c>
      <c r="J1" s="19" t="s">
        <v>8</v>
      </c>
      <c r="K1" s="19" t="s">
        <v>10</v>
      </c>
      <c r="L1" s="21" t="s">
        <v>358</v>
      </c>
      <c r="M1" s="11"/>
      <c r="N1" s="11"/>
      <c r="O1" s="11"/>
      <c r="P1" s="11"/>
      <c r="Q1" s="11"/>
      <c r="R1" s="11"/>
      <c r="S1" s="11"/>
      <c r="T1" s="11"/>
      <c r="U1" s="11"/>
      <c r="V1" s="11"/>
      <c r="W1" s="11"/>
      <c r="X1" s="11"/>
      <c r="Y1" s="11"/>
      <c r="Z1" s="11"/>
    </row>
    <row r="2" ht="81.75" customHeight="1">
      <c r="A2" s="22" t="s">
        <v>359</v>
      </c>
      <c r="B2" s="19" t="s">
        <v>22</v>
      </c>
      <c r="C2" s="6" t="s">
        <v>14</v>
      </c>
      <c r="D2" s="6" t="s">
        <v>14</v>
      </c>
      <c r="E2" s="19">
        <v>2.0</v>
      </c>
      <c r="F2" s="23">
        <v>44596.0</v>
      </c>
      <c r="G2" s="24" t="s">
        <v>360</v>
      </c>
      <c r="H2" s="19" t="s">
        <v>361</v>
      </c>
      <c r="I2" s="19" t="s">
        <v>54</v>
      </c>
      <c r="J2" s="25" t="s">
        <v>362</v>
      </c>
      <c r="K2" s="19" t="s">
        <v>33</v>
      </c>
      <c r="L2" s="26"/>
      <c r="M2" s="11"/>
      <c r="N2" s="11"/>
      <c r="O2" s="11"/>
      <c r="P2" s="11"/>
      <c r="Q2" s="11"/>
      <c r="R2" s="11"/>
      <c r="S2" s="11"/>
      <c r="T2" s="11"/>
      <c r="U2" s="11"/>
      <c r="V2" s="11"/>
      <c r="W2" s="11"/>
      <c r="X2" s="11"/>
      <c r="Y2" s="11"/>
      <c r="Z2" s="11"/>
    </row>
    <row r="3" ht="80.25" customHeight="1">
      <c r="A3" s="22" t="s">
        <v>363</v>
      </c>
      <c r="B3" s="19" t="s">
        <v>22</v>
      </c>
      <c r="C3" s="6" t="s">
        <v>14</v>
      </c>
      <c r="D3" s="6" t="s">
        <v>14</v>
      </c>
      <c r="E3" s="19">
        <v>6.0</v>
      </c>
      <c r="F3" s="23">
        <v>44637.0</v>
      </c>
      <c r="G3" s="24" t="s">
        <v>364</v>
      </c>
      <c r="H3" s="19" t="s">
        <v>361</v>
      </c>
      <c r="I3" s="19" t="s">
        <v>365</v>
      </c>
      <c r="J3" s="25"/>
      <c r="K3" s="19" t="s">
        <v>20</v>
      </c>
      <c r="L3" s="26"/>
      <c r="M3" s="11"/>
      <c r="N3" s="11"/>
      <c r="O3" s="11"/>
      <c r="P3" s="11"/>
      <c r="Q3" s="11"/>
      <c r="R3" s="11"/>
      <c r="S3" s="11"/>
      <c r="T3" s="11"/>
      <c r="U3" s="11"/>
      <c r="V3" s="11"/>
      <c r="W3" s="11"/>
      <c r="X3" s="11"/>
      <c r="Y3" s="11"/>
      <c r="Z3" s="11"/>
    </row>
    <row r="4" ht="50.25" customHeight="1">
      <c r="A4" s="22" t="s">
        <v>366</v>
      </c>
      <c r="B4" s="19" t="s">
        <v>22</v>
      </c>
      <c r="C4" s="6" t="s">
        <v>14</v>
      </c>
      <c r="D4" s="6" t="s">
        <v>14</v>
      </c>
      <c r="E4" s="19">
        <v>6.0</v>
      </c>
      <c r="F4" s="23">
        <v>44639.0</v>
      </c>
      <c r="G4" s="24" t="s">
        <v>367</v>
      </c>
      <c r="H4" s="19" t="s">
        <v>368</v>
      </c>
      <c r="I4" s="19" t="s">
        <v>106</v>
      </c>
      <c r="J4" s="25"/>
      <c r="K4" s="19" t="s">
        <v>20</v>
      </c>
      <c r="L4" s="26"/>
      <c r="M4" s="11"/>
      <c r="N4" s="11"/>
      <c r="O4" s="11"/>
      <c r="P4" s="11"/>
      <c r="Q4" s="11"/>
      <c r="R4" s="11"/>
      <c r="S4" s="11"/>
      <c r="T4" s="11"/>
      <c r="U4" s="11"/>
      <c r="V4" s="11"/>
      <c r="W4" s="11"/>
      <c r="X4" s="11"/>
      <c r="Y4" s="11"/>
      <c r="Z4" s="11"/>
    </row>
    <row r="5" ht="62.25" customHeight="1">
      <c r="A5" s="22" t="s">
        <v>369</v>
      </c>
      <c r="B5" s="19" t="s">
        <v>22</v>
      </c>
      <c r="C5" s="6" t="s">
        <v>14</v>
      </c>
      <c r="D5" s="6" t="s">
        <v>14</v>
      </c>
      <c r="E5" s="19">
        <v>6.0</v>
      </c>
      <c r="F5" s="23">
        <v>44644.0</v>
      </c>
      <c r="G5" s="24" t="s">
        <v>360</v>
      </c>
      <c r="H5" s="19" t="s">
        <v>370</v>
      </c>
      <c r="I5" s="19" t="s">
        <v>371</v>
      </c>
      <c r="J5" s="25"/>
      <c r="K5" s="19" t="s">
        <v>20</v>
      </c>
      <c r="L5" s="26"/>
      <c r="M5" s="11"/>
      <c r="N5" s="11"/>
      <c r="O5" s="11"/>
      <c r="P5" s="11"/>
      <c r="Q5" s="11"/>
      <c r="R5" s="11"/>
      <c r="S5" s="11"/>
      <c r="T5" s="11"/>
      <c r="U5" s="11"/>
      <c r="V5" s="11"/>
      <c r="W5" s="11"/>
      <c r="X5" s="11"/>
      <c r="Y5" s="11"/>
      <c r="Z5" s="11"/>
    </row>
    <row r="6" ht="62.25" customHeight="1">
      <c r="A6" s="22" t="s">
        <v>372</v>
      </c>
      <c r="B6" s="19" t="s">
        <v>22</v>
      </c>
      <c r="C6" s="6" t="s">
        <v>14</v>
      </c>
      <c r="D6" s="6" t="s">
        <v>14</v>
      </c>
      <c r="E6" s="19">
        <v>4.0</v>
      </c>
      <c r="F6" s="23">
        <v>44724.0</v>
      </c>
      <c r="G6" s="24"/>
      <c r="H6" s="19" t="s">
        <v>373</v>
      </c>
      <c r="I6" s="19" t="s">
        <v>106</v>
      </c>
      <c r="J6" s="25"/>
      <c r="K6" s="19" t="s">
        <v>20</v>
      </c>
      <c r="L6" s="26"/>
      <c r="M6" s="11"/>
      <c r="N6" s="11"/>
      <c r="O6" s="11"/>
      <c r="P6" s="11"/>
      <c r="Q6" s="11"/>
      <c r="R6" s="11"/>
      <c r="S6" s="11"/>
      <c r="T6" s="11"/>
      <c r="U6" s="11"/>
      <c r="V6" s="11"/>
      <c r="W6" s="11"/>
      <c r="X6" s="11"/>
      <c r="Y6" s="11"/>
      <c r="Z6" s="11"/>
    </row>
    <row r="7" ht="62.25" customHeight="1">
      <c r="A7" s="27" t="s">
        <v>374</v>
      </c>
      <c r="B7" s="19" t="s">
        <v>22</v>
      </c>
      <c r="C7" s="6" t="s">
        <v>63</v>
      </c>
      <c r="D7" s="6" t="s">
        <v>14</v>
      </c>
      <c r="E7" s="19">
        <v>6.0</v>
      </c>
      <c r="F7" s="23">
        <v>44737.0</v>
      </c>
      <c r="G7" s="24" t="s">
        <v>375</v>
      </c>
      <c r="H7" s="19" t="s">
        <v>376</v>
      </c>
      <c r="I7" s="19" t="s">
        <v>377</v>
      </c>
      <c r="J7" s="25"/>
      <c r="K7" s="19" t="s">
        <v>26</v>
      </c>
      <c r="L7" s="26"/>
      <c r="M7" s="11"/>
      <c r="N7" s="11"/>
      <c r="O7" s="11"/>
      <c r="P7" s="11"/>
      <c r="Q7" s="11"/>
      <c r="R7" s="11"/>
      <c r="S7" s="11"/>
      <c r="T7" s="11"/>
      <c r="U7" s="11"/>
      <c r="V7" s="11"/>
      <c r="W7" s="11"/>
      <c r="X7" s="11"/>
      <c r="Y7" s="11"/>
      <c r="Z7" s="11"/>
    </row>
    <row r="8" ht="62.25" customHeight="1">
      <c r="A8" s="27" t="s">
        <v>378</v>
      </c>
      <c r="B8" s="19" t="s">
        <v>22</v>
      </c>
      <c r="C8" s="6" t="s">
        <v>13</v>
      </c>
      <c r="D8" s="6" t="s">
        <v>13</v>
      </c>
      <c r="E8" s="19">
        <v>6.0</v>
      </c>
      <c r="F8" s="23">
        <v>44752.0</v>
      </c>
      <c r="G8" s="28" t="s">
        <v>364</v>
      </c>
      <c r="H8" s="19" t="s">
        <v>379</v>
      </c>
      <c r="I8" s="19" t="s">
        <v>380</v>
      </c>
      <c r="J8" s="25" t="s">
        <v>381</v>
      </c>
      <c r="K8" s="19" t="s">
        <v>33</v>
      </c>
      <c r="L8" s="26"/>
      <c r="M8" s="11"/>
      <c r="N8" s="11"/>
      <c r="O8" s="11"/>
      <c r="P8" s="11"/>
      <c r="Q8" s="11"/>
      <c r="R8" s="11"/>
      <c r="S8" s="11"/>
      <c r="T8" s="11"/>
      <c r="U8" s="11"/>
      <c r="V8" s="11"/>
      <c r="W8" s="11"/>
      <c r="X8" s="11"/>
      <c r="Y8" s="11"/>
      <c r="Z8" s="11"/>
    </row>
    <row r="9" ht="62.25" customHeight="1">
      <c r="A9" s="27" t="s">
        <v>382</v>
      </c>
      <c r="B9" s="19" t="s">
        <v>22</v>
      </c>
      <c r="C9" s="6" t="s">
        <v>14</v>
      </c>
      <c r="D9" s="6" t="s">
        <v>14</v>
      </c>
      <c r="E9" s="19">
        <v>4.0</v>
      </c>
      <c r="F9" s="23">
        <v>44773.0</v>
      </c>
      <c r="G9" s="24" t="s">
        <v>360</v>
      </c>
      <c r="H9" s="19" t="s">
        <v>383</v>
      </c>
      <c r="I9" s="19" t="s">
        <v>384</v>
      </c>
      <c r="J9" s="25"/>
      <c r="K9" s="19" t="s">
        <v>103</v>
      </c>
      <c r="L9" s="26"/>
      <c r="M9" s="11"/>
      <c r="N9" s="11"/>
      <c r="O9" s="11"/>
      <c r="P9" s="11"/>
      <c r="Q9" s="11"/>
      <c r="R9" s="11"/>
      <c r="S9" s="11"/>
      <c r="T9" s="11"/>
      <c r="U9" s="11"/>
      <c r="V9" s="11"/>
      <c r="W9" s="11"/>
      <c r="X9" s="11"/>
      <c r="Y9" s="11"/>
      <c r="Z9" s="11"/>
    </row>
    <row r="10" ht="62.25" customHeight="1">
      <c r="A10" s="22" t="s">
        <v>385</v>
      </c>
      <c r="B10" s="19" t="s">
        <v>22</v>
      </c>
      <c r="C10" s="6" t="s">
        <v>14</v>
      </c>
      <c r="D10" s="6" t="s">
        <v>14</v>
      </c>
      <c r="E10" s="19">
        <v>6.0</v>
      </c>
      <c r="F10" s="23">
        <v>44798.0</v>
      </c>
      <c r="G10" s="24" t="s">
        <v>364</v>
      </c>
      <c r="H10" s="19" t="s">
        <v>386</v>
      </c>
      <c r="I10" s="19" t="s">
        <v>387</v>
      </c>
      <c r="J10" s="25"/>
      <c r="K10" s="19" t="s">
        <v>38</v>
      </c>
      <c r="L10" s="26"/>
      <c r="M10" s="11"/>
      <c r="N10" s="11"/>
      <c r="O10" s="11"/>
      <c r="P10" s="11"/>
      <c r="Q10" s="11"/>
      <c r="R10" s="11"/>
      <c r="S10" s="11"/>
      <c r="T10" s="11"/>
      <c r="U10" s="11"/>
      <c r="V10" s="11"/>
      <c r="W10" s="11"/>
      <c r="X10" s="11"/>
      <c r="Y10" s="11"/>
      <c r="Z10" s="11"/>
    </row>
    <row r="11" ht="62.25" customHeight="1">
      <c r="A11" s="27" t="s">
        <v>388</v>
      </c>
      <c r="B11" s="19" t="s">
        <v>22</v>
      </c>
      <c r="C11" s="6" t="s">
        <v>13</v>
      </c>
      <c r="D11" s="6" t="s">
        <v>13</v>
      </c>
      <c r="E11" s="19">
        <v>6.0</v>
      </c>
      <c r="F11" s="23">
        <v>44881.0</v>
      </c>
      <c r="G11" s="29"/>
      <c r="H11" s="19" t="s">
        <v>389</v>
      </c>
      <c r="I11" s="19" t="s">
        <v>390</v>
      </c>
      <c r="J11" s="25" t="s">
        <v>391</v>
      </c>
      <c r="K11" s="19" t="s">
        <v>98</v>
      </c>
      <c r="L11" s="26"/>
      <c r="M11" s="11"/>
      <c r="N11" s="11"/>
      <c r="O11" s="11"/>
      <c r="P11" s="11"/>
      <c r="Q11" s="11"/>
      <c r="R11" s="11"/>
      <c r="S11" s="11"/>
      <c r="T11" s="11"/>
      <c r="U11" s="11"/>
      <c r="V11" s="11"/>
      <c r="W11" s="11"/>
      <c r="X11" s="11"/>
      <c r="Y11" s="11"/>
      <c r="Z11" s="11"/>
    </row>
    <row r="12" ht="63.75" customHeight="1">
      <c r="A12" s="27" t="s">
        <v>392</v>
      </c>
      <c r="B12" s="19" t="s">
        <v>22</v>
      </c>
      <c r="C12" s="6" t="s">
        <v>13</v>
      </c>
      <c r="D12" s="6" t="s">
        <v>13</v>
      </c>
      <c r="E12" s="19">
        <v>2.0</v>
      </c>
      <c r="F12" s="23">
        <v>44978.0</v>
      </c>
      <c r="G12" s="24" t="s">
        <v>360</v>
      </c>
      <c r="H12" s="19" t="s">
        <v>393</v>
      </c>
      <c r="I12" s="19" t="s">
        <v>394</v>
      </c>
      <c r="J12" s="25" t="s">
        <v>395</v>
      </c>
      <c r="K12" s="19" t="s">
        <v>20</v>
      </c>
      <c r="L12" s="26"/>
      <c r="M12" s="11"/>
      <c r="N12" s="11"/>
      <c r="O12" s="11"/>
      <c r="P12" s="11"/>
      <c r="Q12" s="11"/>
      <c r="R12" s="11"/>
      <c r="S12" s="11"/>
      <c r="T12" s="11"/>
      <c r="U12" s="11"/>
      <c r="V12" s="11"/>
      <c r="W12" s="11"/>
      <c r="X12" s="11"/>
      <c r="Y12" s="11"/>
      <c r="Z12" s="11"/>
    </row>
    <row r="13" ht="57.75" customHeight="1">
      <c r="A13" s="27" t="s">
        <v>396</v>
      </c>
      <c r="B13" s="19" t="s">
        <v>22</v>
      </c>
      <c r="C13" s="6" t="s">
        <v>40</v>
      </c>
      <c r="D13" s="6" t="s">
        <v>13</v>
      </c>
      <c r="E13" s="19">
        <v>2.0</v>
      </c>
      <c r="F13" s="23">
        <v>44980.0</v>
      </c>
      <c r="G13" s="24" t="s">
        <v>367</v>
      </c>
      <c r="H13" s="30" t="s">
        <v>397</v>
      </c>
      <c r="I13" s="19" t="s">
        <v>398</v>
      </c>
      <c r="J13" s="25" t="s">
        <v>399</v>
      </c>
      <c r="K13" s="19" t="s">
        <v>20</v>
      </c>
      <c r="L13" s="31"/>
      <c r="M13" s="11"/>
      <c r="N13" s="11"/>
      <c r="O13" s="11"/>
      <c r="P13" s="11"/>
      <c r="Q13" s="11"/>
      <c r="R13" s="11"/>
      <c r="S13" s="11"/>
      <c r="T13" s="11"/>
      <c r="U13" s="11"/>
      <c r="V13" s="11"/>
      <c r="W13" s="11"/>
      <c r="X13" s="11"/>
      <c r="Y13" s="11"/>
      <c r="Z13" s="11"/>
    </row>
    <row r="14" ht="57.75" customHeight="1">
      <c r="A14" s="22" t="s">
        <v>400</v>
      </c>
      <c r="B14" s="19" t="s">
        <v>22</v>
      </c>
      <c r="C14" s="6" t="s">
        <v>40</v>
      </c>
      <c r="D14" s="6" t="s">
        <v>40</v>
      </c>
      <c r="E14" s="19">
        <v>6.0</v>
      </c>
      <c r="F14" s="23">
        <v>44982.0</v>
      </c>
      <c r="G14" s="28" t="s">
        <v>364</v>
      </c>
      <c r="H14" s="30" t="s">
        <v>401</v>
      </c>
      <c r="I14" s="19" t="s">
        <v>402</v>
      </c>
      <c r="J14" s="25" t="s">
        <v>403</v>
      </c>
      <c r="K14" s="19" t="s">
        <v>103</v>
      </c>
      <c r="L14" s="31"/>
      <c r="M14" s="11"/>
      <c r="N14" s="11"/>
      <c r="O14" s="11"/>
      <c r="P14" s="11"/>
      <c r="Q14" s="11"/>
      <c r="R14" s="11"/>
      <c r="S14" s="11"/>
      <c r="T14" s="11"/>
      <c r="U14" s="11"/>
      <c r="V14" s="11"/>
      <c r="W14" s="11"/>
      <c r="X14" s="11"/>
      <c r="Y14" s="11"/>
      <c r="Z14" s="11"/>
    </row>
    <row r="15" ht="72.0" customHeight="1">
      <c r="A15" s="27" t="s">
        <v>404</v>
      </c>
      <c r="B15" s="19" t="s">
        <v>22</v>
      </c>
      <c r="C15" s="6" t="s">
        <v>13</v>
      </c>
      <c r="D15" s="6" t="s">
        <v>13</v>
      </c>
      <c r="E15" s="19">
        <v>6.0</v>
      </c>
      <c r="F15" s="23">
        <v>44982.0</v>
      </c>
      <c r="G15" s="28" t="s">
        <v>364</v>
      </c>
      <c r="H15" s="19" t="s">
        <v>405</v>
      </c>
      <c r="I15" s="19" t="s">
        <v>406</v>
      </c>
      <c r="J15" s="25" t="s">
        <v>407</v>
      </c>
      <c r="K15" s="19" t="s">
        <v>20</v>
      </c>
      <c r="L15" s="31"/>
      <c r="M15" s="11"/>
      <c r="N15" s="11"/>
      <c r="O15" s="11"/>
      <c r="P15" s="11"/>
      <c r="Q15" s="11"/>
      <c r="R15" s="11"/>
      <c r="S15" s="11"/>
      <c r="T15" s="11"/>
      <c r="U15" s="11"/>
      <c r="V15" s="11"/>
      <c r="W15" s="11"/>
      <c r="X15" s="11"/>
      <c r="Y15" s="11"/>
      <c r="Z15" s="11"/>
    </row>
    <row r="16" ht="57.75" customHeight="1">
      <c r="A16" s="27" t="s">
        <v>408</v>
      </c>
      <c r="B16" s="19" t="s">
        <v>15</v>
      </c>
      <c r="C16" s="6" t="s">
        <v>14</v>
      </c>
      <c r="D16" s="6" t="s">
        <v>14</v>
      </c>
      <c r="E16" s="19">
        <v>1.0</v>
      </c>
      <c r="F16" s="23">
        <v>44982.0</v>
      </c>
      <c r="G16" s="24" t="s">
        <v>360</v>
      </c>
      <c r="H16" s="19" t="s">
        <v>401</v>
      </c>
      <c r="I16" s="19" t="s">
        <v>106</v>
      </c>
      <c r="J16" s="25" t="s">
        <v>409</v>
      </c>
      <c r="K16" s="19" t="s">
        <v>79</v>
      </c>
      <c r="L16" s="26"/>
      <c r="M16" s="11"/>
      <c r="N16" s="11"/>
      <c r="O16" s="11"/>
      <c r="P16" s="11"/>
      <c r="Q16" s="11"/>
      <c r="R16" s="11"/>
      <c r="S16" s="11"/>
      <c r="T16" s="11"/>
      <c r="U16" s="11"/>
      <c r="V16" s="11"/>
      <c r="W16" s="11"/>
      <c r="X16" s="11"/>
      <c r="Y16" s="11"/>
      <c r="Z16" s="11"/>
    </row>
    <row r="17" ht="91.5" customHeight="1">
      <c r="A17" s="27" t="s">
        <v>410</v>
      </c>
      <c r="B17" s="19" t="s">
        <v>159</v>
      </c>
      <c r="C17" s="6" t="s">
        <v>13</v>
      </c>
      <c r="D17" s="6" t="s">
        <v>13</v>
      </c>
      <c r="E17" s="19">
        <v>1.0</v>
      </c>
      <c r="F17" s="23">
        <v>44986.0</v>
      </c>
      <c r="G17" s="29"/>
      <c r="H17" s="30" t="s">
        <v>397</v>
      </c>
      <c r="I17" s="19" t="s">
        <v>411</v>
      </c>
      <c r="J17" s="25" t="s">
        <v>412</v>
      </c>
      <c r="K17" s="19" t="s">
        <v>20</v>
      </c>
      <c r="L17" s="26"/>
      <c r="M17" s="11"/>
      <c r="N17" s="11"/>
      <c r="O17" s="11"/>
      <c r="P17" s="11"/>
      <c r="Q17" s="11"/>
      <c r="R17" s="11"/>
      <c r="S17" s="11"/>
      <c r="T17" s="11"/>
      <c r="U17" s="11"/>
      <c r="V17" s="11"/>
      <c r="W17" s="11"/>
      <c r="X17" s="11"/>
      <c r="Y17" s="11"/>
      <c r="Z17" s="11"/>
    </row>
    <row r="18" ht="96.75" customHeight="1">
      <c r="A18" s="32" t="s">
        <v>413</v>
      </c>
      <c r="B18" s="19" t="s">
        <v>22</v>
      </c>
      <c r="C18" s="6" t="s">
        <v>13</v>
      </c>
      <c r="D18" s="6" t="s">
        <v>13</v>
      </c>
      <c r="E18" s="19">
        <v>2.0</v>
      </c>
      <c r="F18" s="23">
        <v>45011.0</v>
      </c>
      <c r="G18" s="24" t="s">
        <v>367</v>
      </c>
      <c r="H18" s="19" t="s">
        <v>389</v>
      </c>
      <c r="I18" s="19" t="s">
        <v>414</v>
      </c>
      <c r="J18" s="25" t="s">
        <v>415</v>
      </c>
      <c r="K18" s="19" t="s">
        <v>20</v>
      </c>
      <c r="L18" s="31"/>
      <c r="M18" s="11"/>
      <c r="N18" s="11"/>
      <c r="O18" s="11"/>
      <c r="P18" s="11"/>
      <c r="Q18" s="11"/>
      <c r="R18" s="11"/>
      <c r="S18" s="11"/>
      <c r="T18" s="11"/>
      <c r="U18" s="11"/>
      <c r="V18" s="11"/>
      <c r="W18" s="11"/>
      <c r="X18" s="11"/>
      <c r="Y18" s="11"/>
      <c r="Z18" s="11"/>
    </row>
    <row r="19" ht="87.0" customHeight="1">
      <c r="A19" s="27" t="s">
        <v>416</v>
      </c>
      <c r="B19" s="19" t="s">
        <v>22</v>
      </c>
      <c r="C19" s="6" t="s">
        <v>13</v>
      </c>
      <c r="D19" s="6" t="s">
        <v>40</v>
      </c>
      <c r="E19" s="19">
        <v>14.0</v>
      </c>
      <c r="F19" s="23">
        <v>45021.0</v>
      </c>
      <c r="G19" s="28" t="s">
        <v>360</v>
      </c>
      <c r="H19" s="19" t="s">
        <v>417</v>
      </c>
      <c r="I19" s="19" t="s">
        <v>418</v>
      </c>
      <c r="J19" s="25" t="s">
        <v>419</v>
      </c>
      <c r="K19" s="19" t="s">
        <v>20</v>
      </c>
      <c r="L19" s="31"/>
      <c r="M19" s="11"/>
      <c r="N19" s="11"/>
      <c r="O19" s="11"/>
      <c r="P19" s="11"/>
      <c r="Q19" s="11"/>
      <c r="R19" s="11"/>
      <c r="S19" s="11"/>
      <c r="T19" s="11"/>
      <c r="U19" s="11"/>
      <c r="V19" s="11"/>
      <c r="W19" s="11"/>
      <c r="X19" s="11"/>
      <c r="Y19" s="11"/>
      <c r="Z19" s="11"/>
    </row>
    <row r="20" ht="81.75" customHeight="1">
      <c r="A20" s="27" t="s">
        <v>420</v>
      </c>
      <c r="B20" s="19" t="s">
        <v>22</v>
      </c>
      <c r="C20" s="6" t="s">
        <v>13</v>
      </c>
      <c r="D20" s="6" t="s">
        <v>13</v>
      </c>
      <c r="E20" s="19">
        <v>4.0</v>
      </c>
      <c r="F20" s="23">
        <v>45023.0</v>
      </c>
      <c r="G20" s="24" t="s">
        <v>360</v>
      </c>
      <c r="H20" s="19" t="s">
        <v>421</v>
      </c>
      <c r="I20" s="19" t="s">
        <v>30</v>
      </c>
      <c r="J20" s="25" t="s">
        <v>422</v>
      </c>
      <c r="K20" s="19" t="s">
        <v>20</v>
      </c>
      <c r="L20" s="31"/>
      <c r="M20" s="11"/>
      <c r="N20" s="11"/>
      <c r="O20" s="11"/>
      <c r="P20" s="11"/>
      <c r="Q20" s="11"/>
      <c r="R20" s="11"/>
      <c r="S20" s="11"/>
      <c r="T20" s="11"/>
      <c r="U20" s="11"/>
      <c r="V20" s="11"/>
      <c r="W20" s="11"/>
      <c r="X20" s="11"/>
      <c r="Y20" s="11"/>
      <c r="Z20" s="11"/>
    </row>
    <row r="21" ht="84.0" customHeight="1">
      <c r="A21" s="27" t="s">
        <v>423</v>
      </c>
      <c r="B21" s="19" t="s">
        <v>22</v>
      </c>
      <c r="C21" s="6" t="s">
        <v>14</v>
      </c>
      <c r="D21" s="6" t="s">
        <v>14</v>
      </c>
      <c r="E21" s="19">
        <v>2.0</v>
      </c>
      <c r="F21" s="23">
        <v>45059.0</v>
      </c>
      <c r="G21" s="24" t="s">
        <v>367</v>
      </c>
      <c r="H21" s="19" t="s">
        <v>424</v>
      </c>
      <c r="I21" s="19" t="s">
        <v>425</v>
      </c>
      <c r="J21" s="25" t="s">
        <v>426</v>
      </c>
      <c r="K21" s="19" t="s">
        <v>38</v>
      </c>
      <c r="L21" s="26"/>
      <c r="M21" s="11"/>
      <c r="N21" s="11"/>
      <c r="O21" s="11"/>
      <c r="P21" s="11"/>
      <c r="Q21" s="11"/>
      <c r="R21" s="11"/>
      <c r="S21" s="11"/>
      <c r="T21" s="11"/>
      <c r="U21" s="11"/>
      <c r="V21" s="11"/>
      <c r="W21" s="11"/>
      <c r="X21" s="11"/>
      <c r="Y21" s="11"/>
      <c r="Z21" s="11"/>
    </row>
    <row r="22" ht="81.0" customHeight="1">
      <c r="A22" s="22" t="s">
        <v>427</v>
      </c>
      <c r="B22" s="19" t="s">
        <v>22</v>
      </c>
      <c r="C22" s="6" t="s">
        <v>63</v>
      </c>
      <c r="D22" s="6" t="s">
        <v>63</v>
      </c>
      <c r="E22" s="19">
        <v>3.0</v>
      </c>
      <c r="F22" s="23">
        <v>45080.0</v>
      </c>
      <c r="G22" s="24" t="s">
        <v>364</v>
      </c>
      <c r="H22" s="33" t="s">
        <v>428</v>
      </c>
      <c r="I22" s="19" t="s">
        <v>429</v>
      </c>
      <c r="J22" s="25" t="s">
        <v>430</v>
      </c>
      <c r="K22" s="19" t="s">
        <v>20</v>
      </c>
      <c r="L22" s="26"/>
      <c r="M22" s="11"/>
      <c r="N22" s="11"/>
      <c r="O22" s="11"/>
      <c r="P22" s="11"/>
      <c r="Q22" s="11"/>
      <c r="R22" s="11"/>
      <c r="S22" s="11"/>
      <c r="T22" s="11"/>
      <c r="U22" s="11"/>
      <c r="V22" s="11"/>
      <c r="W22" s="11"/>
      <c r="X22" s="11"/>
      <c r="Y22" s="11"/>
      <c r="Z22" s="11"/>
    </row>
    <row r="23" ht="72.75" customHeight="1">
      <c r="A23" s="22" t="s">
        <v>431</v>
      </c>
      <c r="B23" s="19" t="s">
        <v>22</v>
      </c>
      <c r="C23" s="6" t="s">
        <v>13</v>
      </c>
      <c r="D23" s="6" t="s">
        <v>13</v>
      </c>
      <c r="E23" s="19">
        <v>6.0</v>
      </c>
      <c r="F23" s="23">
        <v>45088.0</v>
      </c>
      <c r="G23" s="28" t="s">
        <v>360</v>
      </c>
      <c r="H23" s="34" t="s">
        <v>432</v>
      </c>
      <c r="I23" s="19" t="s">
        <v>433</v>
      </c>
      <c r="J23" s="35" t="s">
        <v>434</v>
      </c>
      <c r="K23" s="19" t="s">
        <v>103</v>
      </c>
      <c r="L23" s="26"/>
      <c r="M23" s="11"/>
      <c r="N23" s="11"/>
      <c r="O23" s="11"/>
      <c r="P23" s="11"/>
      <c r="Q23" s="11"/>
      <c r="R23" s="11"/>
      <c r="S23" s="11"/>
      <c r="T23" s="11"/>
      <c r="U23" s="11"/>
      <c r="V23" s="11"/>
      <c r="W23" s="11"/>
      <c r="X23" s="11"/>
      <c r="Y23" s="11"/>
      <c r="Z23" s="11"/>
    </row>
    <row r="24" ht="66.0" customHeight="1">
      <c r="A24" s="27" t="s">
        <v>435</v>
      </c>
      <c r="B24" s="19" t="s">
        <v>22</v>
      </c>
      <c r="C24" s="6" t="s">
        <v>40</v>
      </c>
      <c r="D24" s="6" t="s">
        <v>13</v>
      </c>
      <c r="E24" s="19">
        <v>2.0</v>
      </c>
      <c r="F24" s="23">
        <v>45102.0</v>
      </c>
      <c r="G24" s="28" t="s">
        <v>364</v>
      </c>
      <c r="H24" s="34" t="s">
        <v>376</v>
      </c>
      <c r="I24" s="19" t="s">
        <v>436</v>
      </c>
      <c r="J24" s="36" t="s">
        <v>437</v>
      </c>
      <c r="K24" s="19" t="s">
        <v>20</v>
      </c>
      <c r="L24" s="26"/>
      <c r="M24" s="11"/>
      <c r="N24" s="11"/>
      <c r="O24" s="11"/>
      <c r="P24" s="11"/>
      <c r="Q24" s="11"/>
      <c r="R24" s="11"/>
      <c r="S24" s="11"/>
      <c r="T24" s="11"/>
      <c r="U24" s="11"/>
      <c r="V24" s="11"/>
      <c r="W24" s="11"/>
      <c r="X24" s="11"/>
      <c r="Y24" s="11"/>
      <c r="Z24" s="11"/>
    </row>
    <row r="25" ht="65.25" customHeight="1">
      <c r="A25" s="27" t="s">
        <v>438</v>
      </c>
      <c r="B25" s="19" t="s">
        <v>22</v>
      </c>
      <c r="C25" s="6" t="s">
        <v>63</v>
      </c>
      <c r="D25" s="6" t="s">
        <v>63</v>
      </c>
      <c r="E25" s="19">
        <v>3.0</v>
      </c>
      <c r="F25" s="23">
        <v>45102.0</v>
      </c>
      <c r="G25" s="28" t="s">
        <v>360</v>
      </c>
      <c r="H25" s="34" t="s">
        <v>439</v>
      </c>
      <c r="I25" s="19" t="s">
        <v>440</v>
      </c>
      <c r="J25" s="36" t="s">
        <v>441</v>
      </c>
      <c r="K25" s="19" t="s">
        <v>20</v>
      </c>
      <c r="L25" s="26"/>
      <c r="M25" s="11"/>
      <c r="N25" s="11"/>
      <c r="O25" s="11"/>
      <c r="P25" s="11"/>
      <c r="Q25" s="11"/>
      <c r="R25" s="11"/>
      <c r="S25" s="11"/>
      <c r="T25" s="11"/>
      <c r="U25" s="11"/>
      <c r="V25" s="11"/>
      <c r="W25" s="11"/>
      <c r="X25" s="11"/>
      <c r="Y25" s="11"/>
      <c r="Z25" s="11"/>
    </row>
    <row r="26" ht="81.0" customHeight="1">
      <c r="A26" s="27" t="s">
        <v>442</v>
      </c>
      <c r="B26" s="19" t="s">
        <v>22</v>
      </c>
      <c r="C26" s="6" t="s">
        <v>63</v>
      </c>
      <c r="D26" s="6" t="s">
        <v>63</v>
      </c>
      <c r="E26" s="19">
        <v>2.0</v>
      </c>
      <c r="F26" s="23">
        <v>45106.0</v>
      </c>
      <c r="G26" s="28" t="s">
        <v>367</v>
      </c>
      <c r="H26" s="34" t="s">
        <v>443</v>
      </c>
      <c r="I26" s="19" t="s">
        <v>444</v>
      </c>
      <c r="J26" s="36" t="s">
        <v>445</v>
      </c>
      <c r="K26" s="19" t="s">
        <v>95</v>
      </c>
      <c r="L26" s="26"/>
      <c r="M26" s="11"/>
      <c r="N26" s="11"/>
      <c r="O26" s="11"/>
      <c r="P26" s="11"/>
      <c r="Q26" s="11"/>
      <c r="R26" s="11"/>
      <c r="S26" s="11"/>
      <c r="T26" s="11"/>
      <c r="U26" s="11"/>
      <c r="V26" s="11"/>
      <c r="W26" s="11"/>
      <c r="X26" s="11"/>
      <c r="Y26" s="11"/>
      <c r="Z26" s="11"/>
    </row>
    <row r="27" ht="70.5" customHeight="1">
      <c r="A27" s="27" t="s">
        <v>446</v>
      </c>
      <c r="B27" s="19" t="s">
        <v>22</v>
      </c>
      <c r="C27" s="6" t="s">
        <v>63</v>
      </c>
      <c r="D27" s="6" t="s">
        <v>63</v>
      </c>
      <c r="E27" s="19">
        <v>3.0</v>
      </c>
      <c r="F27" s="23">
        <v>45106.0</v>
      </c>
      <c r="G27" s="28" t="s">
        <v>447</v>
      </c>
      <c r="H27" s="34" t="s">
        <v>443</v>
      </c>
      <c r="I27" s="19" t="s">
        <v>444</v>
      </c>
      <c r="J27" s="36" t="s">
        <v>445</v>
      </c>
      <c r="K27" s="19" t="s">
        <v>98</v>
      </c>
      <c r="L27" s="26"/>
      <c r="M27" s="11"/>
      <c r="N27" s="11"/>
      <c r="O27" s="11"/>
      <c r="P27" s="11"/>
      <c r="Q27" s="11"/>
      <c r="R27" s="11"/>
      <c r="S27" s="11"/>
      <c r="T27" s="11"/>
      <c r="U27" s="11"/>
      <c r="V27" s="11"/>
      <c r="W27" s="11"/>
      <c r="X27" s="11"/>
      <c r="Y27" s="11"/>
      <c r="Z27" s="11"/>
    </row>
    <row r="28" ht="47.25" customHeight="1">
      <c r="A28" s="27" t="s">
        <v>448</v>
      </c>
      <c r="B28" s="19" t="s">
        <v>15</v>
      </c>
      <c r="C28" s="6" t="s">
        <v>63</v>
      </c>
      <c r="D28" s="6" t="s">
        <v>63</v>
      </c>
      <c r="E28" s="19">
        <v>1.0</v>
      </c>
      <c r="F28" s="23">
        <v>45114.0</v>
      </c>
      <c r="G28" s="28" t="s">
        <v>367</v>
      </c>
      <c r="H28" s="19" t="s">
        <v>379</v>
      </c>
      <c r="I28" s="19" t="s">
        <v>449</v>
      </c>
      <c r="J28" s="37" t="s">
        <v>450</v>
      </c>
      <c r="K28" s="19" t="s">
        <v>33</v>
      </c>
      <c r="L28" s="26"/>
      <c r="M28" s="11"/>
      <c r="N28" s="11"/>
      <c r="O28" s="11"/>
      <c r="P28" s="11"/>
      <c r="Q28" s="11"/>
      <c r="R28" s="11"/>
      <c r="S28" s="11"/>
      <c r="T28" s="11"/>
      <c r="U28" s="11"/>
      <c r="V28" s="11"/>
      <c r="W28" s="11"/>
      <c r="X28" s="11"/>
      <c r="Y28" s="11"/>
      <c r="Z28" s="11"/>
    </row>
    <row r="29" ht="83.25" customHeight="1">
      <c r="A29" s="27" t="s">
        <v>451</v>
      </c>
      <c r="B29" s="19" t="s">
        <v>22</v>
      </c>
      <c r="C29" s="6" t="s">
        <v>63</v>
      </c>
      <c r="D29" s="6" t="s">
        <v>63</v>
      </c>
      <c r="E29" s="19">
        <v>2.0</v>
      </c>
      <c r="F29" s="23">
        <v>45114.0</v>
      </c>
      <c r="G29" s="24" t="s">
        <v>375</v>
      </c>
      <c r="H29" s="19" t="s">
        <v>383</v>
      </c>
      <c r="I29" s="19" t="s">
        <v>452</v>
      </c>
      <c r="J29" s="25"/>
      <c r="K29" s="19" t="s">
        <v>33</v>
      </c>
      <c r="L29" s="26"/>
      <c r="M29" s="11"/>
      <c r="N29" s="11"/>
      <c r="O29" s="11"/>
      <c r="P29" s="11"/>
      <c r="Q29" s="11"/>
      <c r="R29" s="11"/>
      <c r="S29" s="11"/>
      <c r="T29" s="11"/>
      <c r="U29" s="11"/>
      <c r="V29" s="11"/>
      <c r="W29" s="11"/>
      <c r="X29" s="11"/>
      <c r="Y29" s="11"/>
      <c r="Z29" s="11"/>
    </row>
    <row r="30" ht="98.25" customHeight="1">
      <c r="A30" s="27" t="s">
        <v>453</v>
      </c>
      <c r="B30" s="19" t="s">
        <v>22</v>
      </c>
      <c r="C30" s="6" t="s">
        <v>13</v>
      </c>
      <c r="D30" s="6" t="s">
        <v>13</v>
      </c>
      <c r="E30" s="19">
        <v>6.0</v>
      </c>
      <c r="F30" s="23">
        <v>45121.0</v>
      </c>
      <c r="G30" s="28" t="s">
        <v>364</v>
      </c>
      <c r="H30" s="19" t="s">
        <v>454</v>
      </c>
      <c r="I30" s="19" t="s">
        <v>455</v>
      </c>
      <c r="J30" s="38" t="s">
        <v>456</v>
      </c>
      <c r="K30" s="19" t="s">
        <v>103</v>
      </c>
      <c r="L30" s="26"/>
      <c r="M30" s="11"/>
      <c r="N30" s="11"/>
      <c r="O30" s="11"/>
      <c r="P30" s="11"/>
      <c r="Q30" s="11"/>
      <c r="R30" s="11"/>
      <c r="S30" s="11"/>
      <c r="T30" s="11"/>
      <c r="U30" s="11"/>
      <c r="V30" s="11"/>
      <c r="W30" s="11"/>
      <c r="X30" s="11"/>
      <c r="Y30" s="11"/>
      <c r="Z30" s="11"/>
    </row>
    <row r="31" ht="87.75" customHeight="1">
      <c r="A31" s="27" t="s">
        <v>382</v>
      </c>
      <c r="B31" s="19" t="s">
        <v>22</v>
      </c>
      <c r="C31" s="6" t="s">
        <v>14</v>
      </c>
      <c r="D31" s="6" t="s">
        <v>28</v>
      </c>
      <c r="E31" s="19">
        <v>6.0</v>
      </c>
      <c r="F31" s="23">
        <v>45121.0</v>
      </c>
      <c r="G31" s="28" t="s">
        <v>364</v>
      </c>
      <c r="H31" s="19" t="s">
        <v>379</v>
      </c>
      <c r="I31" s="19" t="s">
        <v>455</v>
      </c>
      <c r="J31" s="37" t="s">
        <v>457</v>
      </c>
      <c r="K31" s="19" t="s">
        <v>103</v>
      </c>
      <c r="L31" s="26"/>
      <c r="M31" s="11"/>
      <c r="N31" s="11"/>
      <c r="O31" s="11"/>
      <c r="P31" s="11"/>
      <c r="Q31" s="11"/>
      <c r="R31" s="11"/>
      <c r="S31" s="11"/>
      <c r="T31" s="11"/>
      <c r="U31" s="11"/>
      <c r="V31" s="11"/>
      <c r="W31" s="11"/>
      <c r="X31" s="11"/>
      <c r="Y31" s="11"/>
      <c r="Z31" s="11"/>
    </row>
    <row r="32" ht="109.5" customHeight="1">
      <c r="A32" s="27" t="s">
        <v>458</v>
      </c>
      <c r="B32" s="19" t="s">
        <v>22</v>
      </c>
      <c r="C32" s="6" t="s">
        <v>63</v>
      </c>
      <c r="D32" s="6" t="s">
        <v>63</v>
      </c>
      <c r="E32" s="19">
        <v>2.0</v>
      </c>
      <c r="F32" s="23">
        <v>45122.0</v>
      </c>
      <c r="G32" s="28" t="s">
        <v>360</v>
      </c>
      <c r="H32" s="34" t="s">
        <v>443</v>
      </c>
      <c r="I32" s="19" t="s">
        <v>449</v>
      </c>
      <c r="J32" s="37" t="s">
        <v>459</v>
      </c>
      <c r="K32" s="19" t="s">
        <v>103</v>
      </c>
      <c r="L32" s="26"/>
      <c r="M32" s="11"/>
      <c r="N32" s="11"/>
      <c r="O32" s="11"/>
      <c r="P32" s="11"/>
      <c r="Q32" s="11"/>
      <c r="R32" s="11"/>
      <c r="S32" s="11"/>
      <c r="T32" s="11"/>
      <c r="U32" s="11"/>
      <c r="V32" s="11"/>
      <c r="W32" s="11"/>
      <c r="X32" s="11"/>
      <c r="Y32" s="11"/>
      <c r="Z32" s="11"/>
    </row>
    <row r="33" ht="105.75" customHeight="1">
      <c r="A33" s="27" t="s">
        <v>460</v>
      </c>
      <c r="B33" s="19" t="s">
        <v>15</v>
      </c>
      <c r="C33" s="6" t="s">
        <v>63</v>
      </c>
      <c r="D33" s="6" t="s">
        <v>63</v>
      </c>
      <c r="E33" s="19">
        <v>1.0</v>
      </c>
      <c r="F33" s="23">
        <v>45130.0</v>
      </c>
      <c r="G33" s="24"/>
      <c r="H33" s="19" t="s">
        <v>383</v>
      </c>
      <c r="I33" s="19" t="s">
        <v>461</v>
      </c>
      <c r="J33" s="39" t="s">
        <v>462</v>
      </c>
      <c r="K33" s="19" t="s">
        <v>38</v>
      </c>
      <c r="L33" s="26"/>
      <c r="M33" s="11"/>
      <c r="N33" s="11"/>
      <c r="O33" s="11"/>
      <c r="P33" s="11"/>
      <c r="Q33" s="11"/>
      <c r="R33" s="11"/>
      <c r="S33" s="11"/>
      <c r="T33" s="11"/>
      <c r="U33" s="11"/>
      <c r="V33" s="11"/>
      <c r="W33" s="11"/>
      <c r="X33" s="11"/>
      <c r="Y33" s="11"/>
      <c r="Z33" s="11"/>
    </row>
    <row r="34" ht="113.25" customHeight="1">
      <c r="A34" s="27" t="s">
        <v>463</v>
      </c>
      <c r="B34" s="19" t="s">
        <v>22</v>
      </c>
      <c r="C34" s="6" t="s">
        <v>63</v>
      </c>
      <c r="D34" s="6" t="s">
        <v>63</v>
      </c>
      <c r="E34" s="19">
        <v>3.0</v>
      </c>
      <c r="F34" s="23">
        <v>45131.0</v>
      </c>
      <c r="G34" s="24" t="s">
        <v>367</v>
      </c>
      <c r="H34" s="19" t="s">
        <v>464</v>
      </c>
      <c r="I34" s="19" t="s">
        <v>465</v>
      </c>
      <c r="J34" s="39" t="s">
        <v>466</v>
      </c>
      <c r="K34" s="19" t="s">
        <v>467</v>
      </c>
      <c r="L34" s="26"/>
      <c r="M34" s="11"/>
      <c r="N34" s="11"/>
      <c r="O34" s="11"/>
      <c r="P34" s="11"/>
      <c r="Q34" s="11"/>
      <c r="R34" s="11"/>
      <c r="S34" s="11"/>
      <c r="T34" s="11"/>
      <c r="U34" s="11"/>
      <c r="V34" s="11"/>
      <c r="W34" s="11"/>
      <c r="X34" s="11"/>
      <c r="Y34" s="11"/>
      <c r="Z34" s="11"/>
    </row>
    <row r="35" ht="66.75" customHeight="1">
      <c r="A35" s="27" t="s">
        <v>458</v>
      </c>
      <c r="B35" s="19" t="s">
        <v>22</v>
      </c>
      <c r="C35" s="6" t="s">
        <v>63</v>
      </c>
      <c r="D35" s="6" t="s">
        <v>63</v>
      </c>
      <c r="E35" s="19">
        <v>2.0</v>
      </c>
      <c r="F35" s="23">
        <v>45132.0</v>
      </c>
      <c r="G35" s="24"/>
      <c r="H35" s="34" t="s">
        <v>443</v>
      </c>
      <c r="I35" s="19" t="s">
        <v>106</v>
      </c>
      <c r="J35" s="39" t="s">
        <v>468</v>
      </c>
      <c r="K35" s="19" t="s">
        <v>103</v>
      </c>
      <c r="L35" s="26"/>
      <c r="M35" s="11"/>
      <c r="N35" s="11"/>
      <c r="O35" s="11"/>
      <c r="P35" s="11"/>
      <c r="Q35" s="11"/>
      <c r="R35" s="11"/>
      <c r="S35" s="11"/>
      <c r="T35" s="11"/>
      <c r="U35" s="11"/>
      <c r="V35" s="11"/>
      <c r="W35" s="11"/>
      <c r="X35" s="11"/>
      <c r="Y35" s="11"/>
      <c r="Z35" s="11"/>
    </row>
    <row r="36" ht="75.0" customHeight="1">
      <c r="A36" s="27" t="s">
        <v>469</v>
      </c>
      <c r="B36" s="19" t="s">
        <v>22</v>
      </c>
      <c r="C36" s="6" t="s">
        <v>63</v>
      </c>
      <c r="D36" s="6" t="s">
        <v>63</v>
      </c>
      <c r="E36" s="19">
        <v>3.0</v>
      </c>
      <c r="F36" s="23">
        <v>45136.0</v>
      </c>
      <c r="G36" s="24"/>
      <c r="H36" s="19" t="s">
        <v>383</v>
      </c>
      <c r="I36" s="19" t="s">
        <v>429</v>
      </c>
      <c r="J36" s="39" t="s">
        <v>470</v>
      </c>
      <c r="K36" s="19" t="s">
        <v>38</v>
      </c>
      <c r="L36" s="26"/>
      <c r="M36" s="11"/>
      <c r="N36" s="11"/>
      <c r="O36" s="11"/>
      <c r="P36" s="11"/>
      <c r="Q36" s="11"/>
      <c r="R36" s="11"/>
      <c r="S36" s="11"/>
      <c r="T36" s="11"/>
      <c r="U36" s="11"/>
      <c r="V36" s="11"/>
      <c r="W36" s="11"/>
      <c r="X36" s="11"/>
      <c r="Y36" s="11"/>
      <c r="Z36" s="11"/>
    </row>
    <row r="37" ht="75.75" customHeight="1">
      <c r="A37" s="27" t="s">
        <v>471</v>
      </c>
      <c r="B37" s="19" t="s">
        <v>22</v>
      </c>
      <c r="C37" s="6" t="s">
        <v>13</v>
      </c>
      <c r="D37" s="6" t="s">
        <v>13</v>
      </c>
      <c r="E37" s="19">
        <v>4.0</v>
      </c>
      <c r="F37" s="23">
        <v>45137.0</v>
      </c>
      <c r="G37" s="24" t="s">
        <v>364</v>
      </c>
      <c r="H37" s="19" t="s">
        <v>383</v>
      </c>
      <c r="I37" s="19" t="s">
        <v>472</v>
      </c>
      <c r="J37" s="39" t="s">
        <v>473</v>
      </c>
      <c r="K37" s="19" t="s">
        <v>474</v>
      </c>
      <c r="L37" s="26"/>
      <c r="M37" s="11"/>
      <c r="N37" s="11"/>
      <c r="O37" s="11"/>
      <c r="P37" s="11"/>
      <c r="Q37" s="11"/>
      <c r="R37" s="11"/>
      <c r="S37" s="11"/>
      <c r="T37" s="11"/>
      <c r="U37" s="11"/>
      <c r="V37" s="11"/>
      <c r="W37" s="11"/>
      <c r="X37" s="11"/>
      <c r="Y37" s="11"/>
      <c r="Z37" s="11"/>
    </row>
    <row r="38" ht="72.0" customHeight="1">
      <c r="A38" s="27" t="s">
        <v>475</v>
      </c>
      <c r="B38" s="19" t="s">
        <v>22</v>
      </c>
      <c r="C38" s="6" t="s">
        <v>14</v>
      </c>
      <c r="D38" s="6" t="s">
        <v>14</v>
      </c>
      <c r="E38" s="19">
        <v>2.0</v>
      </c>
      <c r="F38" s="23">
        <v>45137.0</v>
      </c>
      <c r="G38" s="24" t="s">
        <v>364</v>
      </c>
      <c r="H38" s="19" t="s">
        <v>383</v>
      </c>
      <c r="I38" s="19" t="s">
        <v>476</v>
      </c>
      <c r="J38" s="39" t="s">
        <v>477</v>
      </c>
      <c r="K38" s="19" t="s">
        <v>20</v>
      </c>
      <c r="L38" s="26"/>
      <c r="M38" s="11"/>
      <c r="N38" s="11"/>
      <c r="O38" s="11"/>
      <c r="P38" s="11"/>
      <c r="Q38" s="11"/>
      <c r="R38" s="11"/>
      <c r="S38" s="11"/>
      <c r="T38" s="11"/>
      <c r="U38" s="11"/>
      <c r="V38" s="11"/>
      <c r="W38" s="11"/>
      <c r="X38" s="11"/>
      <c r="Y38" s="11"/>
      <c r="Z38" s="11"/>
    </row>
    <row r="39" ht="61.5" customHeight="1">
      <c r="A39" s="27" t="s">
        <v>478</v>
      </c>
      <c r="B39" s="19" t="s">
        <v>22</v>
      </c>
      <c r="C39" s="6" t="s">
        <v>13</v>
      </c>
      <c r="D39" s="6" t="s">
        <v>13</v>
      </c>
      <c r="E39" s="19">
        <v>2.0</v>
      </c>
      <c r="F39" s="23">
        <v>45224.0</v>
      </c>
      <c r="G39" s="28"/>
      <c r="H39" s="34"/>
      <c r="I39" s="19" t="s">
        <v>106</v>
      </c>
      <c r="J39" s="36"/>
      <c r="K39" s="19" t="s">
        <v>161</v>
      </c>
      <c r="L39" s="26"/>
      <c r="M39" s="11"/>
      <c r="N39" s="11"/>
      <c r="O39" s="11"/>
      <c r="P39" s="11"/>
      <c r="Q39" s="11"/>
      <c r="R39" s="11"/>
      <c r="S39" s="11"/>
      <c r="T39" s="11"/>
      <c r="U39" s="11"/>
      <c r="V39" s="11"/>
      <c r="W39" s="11"/>
      <c r="X39" s="11"/>
      <c r="Y39" s="11"/>
      <c r="Z39" s="11"/>
    </row>
    <row r="40" ht="77.25" customHeight="1">
      <c r="A40" s="40" t="s">
        <v>479</v>
      </c>
      <c r="B40" s="19" t="s">
        <v>159</v>
      </c>
      <c r="C40" s="6" t="s">
        <v>63</v>
      </c>
      <c r="D40" s="6" t="s">
        <v>63</v>
      </c>
      <c r="E40" s="19">
        <v>1.0</v>
      </c>
      <c r="F40" s="23">
        <v>45224.0</v>
      </c>
      <c r="G40" s="28"/>
      <c r="H40" s="34" t="s">
        <v>480</v>
      </c>
      <c r="I40" s="19" t="s">
        <v>481</v>
      </c>
      <c r="J40" s="36"/>
      <c r="K40" s="19" t="s">
        <v>161</v>
      </c>
      <c r="L40" s="26"/>
      <c r="M40" s="11"/>
      <c r="N40" s="11"/>
      <c r="O40" s="11"/>
      <c r="P40" s="11"/>
      <c r="Q40" s="11"/>
      <c r="R40" s="11"/>
      <c r="S40" s="11"/>
      <c r="T40" s="11"/>
      <c r="U40" s="11"/>
      <c r="V40" s="11"/>
      <c r="W40" s="11"/>
      <c r="X40" s="11"/>
      <c r="Y40" s="11"/>
      <c r="Z40" s="11"/>
    </row>
    <row r="41" ht="65.25" customHeight="1">
      <c r="A41" s="27" t="s">
        <v>482</v>
      </c>
      <c r="B41" s="19" t="s">
        <v>22</v>
      </c>
      <c r="C41" s="6" t="s">
        <v>13</v>
      </c>
      <c r="D41" s="6" t="s">
        <v>13</v>
      </c>
      <c r="E41" s="19">
        <v>5.0</v>
      </c>
      <c r="F41" s="23">
        <v>45227.0</v>
      </c>
      <c r="G41" s="28"/>
      <c r="H41" s="34" t="s">
        <v>483</v>
      </c>
      <c r="I41" s="19" t="s">
        <v>58</v>
      </c>
      <c r="J41" s="36"/>
      <c r="K41" s="19" t="s">
        <v>20</v>
      </c>
      <c r="L41" s="26"/>
      <c r="M41" s="11"/>
      <c r="N41" s="11"/>
      <c r="O41" s="11"/>
      <c r="P41" s="11"/>
      <c r="Q41" s="11"/>
      <c r="R41" s="11"/>
      <c r="S41" s="11"/>
      <c r="T41" s="11"/>
      <c r="U41" s="11"/>
      <c r="V41" s="11"/>
      <c r="W41" s="11"/>
      <c r="X41" s="11"/>
      <c r="Y41" s="11"/>
      <c r="Z41" s="11"/>
    </row>
    <row r="42" ht="54.75" customHeight="1">
      <c r="A42" s="41" t="s">
        <v>484</v>
      </c>
      <c r="B42" s="19" t="s">
        <v>15</v>
      </c>
      <c r="C42" s="6" t="s">
        <v>14</v>
      </c>
      <c r="D42" s="6" t="s">
        <v>63</v>
      </c>
      <c r="E42" s="19">
        <v>1.0</v>
      </c>
      <c r="F42" s="23">
        <v>45230.0</v>
      </c>
      <c r="G42" s="28" t="s">
        <v>375</v>
      </c>
      <c r="H42" s="34" t="s">
        <v>485</v>
      </c>
      <c r="I42" s="19" t="s">
        <v>486</v>
      </c>
      <c r="J42" s="36"/>
      <c r="K42" s="19" t="s">
        <v>487</v>
      </c>
      <c r="L42" s="26"/>
      <c r="M42" s="11"/>
      <c r="N42" s="11"/>
      <c r="O42" s="11"/>
      <c r="P42" s="11"/>
      <c r="Q42" s="11"/>
      <c r="R42" s="11"/>
      <c r="S42" s="11"/>
      <c r="T42" s="11"/>
      <c r="U42" s="11"/>
      <c r="V42" s="11"/>
      <c r="W42" s="11"/>
      <c r="X42" s="11"/>
      <c r="Y42" s="11"/>
      <c r="Z42" s="11"/>
    </row>
    <row r="43" ht="51.75" customHeight="1">
      <c r="A43" s="27" t="s">
        <v>488</v>
      </c>
      <c r="B43" s="19" t="s">
        <v>22</v>
      </c>
      <c r="C43" s="6" t="s">
        <v>13</v>
      </c>
      <c r="D43" s="6" t="s">
        <v>13</v>
      </c>
      <c r="E43" s="19">
        <v>2.0</v>
      </c>
      <c r="F43" s="23">
        <v>45231.0</v>
      </c>
      <c r="G43" s="28"/>
      <c r="H43" s="34" t="s">
        <v>489</v>
      </c>
      <c r="I43" s="19" t="s">
        <v>106</v>
      </c>
      <c r="J43" s="36"/>
      <c r="K43" s="19" t="s">
        <v>20</v>
      </c>
      <c r="L43" s="26"/>
      <c r="M43" s="11"/>
      <c r="N43" s="11"/>
      <c r="O43" s="11"/>
      <c r="P43" s="11"/>
      <c r="Q43" s="11"/>
      <c r="R43" s="11"/>
      <c r="S43" s="11"/>
      <c r="T43" s="11"/>
      <c r="U43" s="11"/>
      <c r="V43" s="11"/>
      <c r="W43" s="11"/>
      <c r="X43" s="11"/>
      <c r="Y43" s="11"/>
      <c r="Z43" s="11"/>
    </row>
    <row r="44" ht="55.5" customHeight="1">
      <c r="A44" s="27" t="s">
        <v>490</v>
      </c>
      <c r="B44" s="19" t="s">
        <v>22</v>
      </c>
      <c r="C44" s="6" t="s">
        <v>13</v>
      </c>
      <c r="D44" s="6" t="s">
        <v>13</v>
      </c>
      <c r="E44" s="19">
        <v>4.0</v>
      </c>
      <c r="F44" s="23">
        <v>45231.0</v>
      </c>
      <c r="G44" s="28"/>
      <c r="H44" s="34" t="s">
        <v>483</v>
      </c>
      <c r="I44" s="19" t="s">
        <v>17</v>
      </c>
      <c r="J44" s="36"/>
      <c r="K44" s="19" t="s">
        <v>20</v>
      </c>
      <c r="L44" s="26"/>
      <c r="M44" s="11"/>
      <c r="N44" s="11"/>
      <c r="O44" s="11"/>
      <c r="P44" s="11"/>
      <c r="Q44" s="11"/>
      <c r="R44" s="11"/>
      <c r="S44" s="11"/>
      <c r="T44" s="11"/>
      <c r="U44" s="11"/>
      <c r="V44" s="11"/>
      <c r="W44" s="11"/>
      <c r="X44" s="11"/>
      <c r="Y44" s="11"/>
      <c r="Z44" s="11"/>
    </row>
    <row r="45" ht="57.0" customHeight="1">
      <c r="A45" s="27" t="s">
        <v>491</v>
      </c>
      <c r="B45" s="19" t="s">
        <v>22</v>
      </c>
      <c r="C45" s="6" t="s">
        <v>40</v>
      </c>
      <c r="D45" s="6" t="s">
        <v>40</v>
      </c>
      <c r="E45" s="19">
        <v>3.0</v>
      </c>
      <c r="F45" s="23">
        <v>45235.0</v>
      </c>
      <c r="G45" s="28" t="s">
        <v>364</v>
      </c>
      <c r="H45" s="34" t="s">
        <v>489</v>
      </c>
      <c r="I45" s="19" t="s">
        <v>492</v>
      </c>
      <c r="J45" s="36"/>
      <c r="K45" s="19" t="s">
        <v>103</v>
      </c>
      <c r="L45" s="26"/>
      <c r="M45" s="11"/>
      <c r="N45" s="11"/>
      <c r="O45" s="11"/>
      <c r="P45" s="11"/>
      <c r="Q45" s="11"/>
      <c r="R45" s="11"/>
      <c r="S45" s="11"/>
      <c r="T45" s="11"/>
      <c r="U45" s="11"/>
      <c r="V45" s="11"/>
      <c r="W45" s="11"/>
      <c r="X45" s="11"/>
      <c r="Y45" s="11"/>
      <c r="Z45" s="11"/>
    </row>
    <row r="46" ht="60.0" customHeight="1">
      <c r="A46" s="27" t="s">
        <v>493</v>
      </c>
      <c r="B46" s="19" t="s">
        <v>22</v>
      </c>
      <c r="C46" s="6" t="s">
        <v>13</v>
      </c>
      <c r="D46" s="6" t="s">
        <v>13</v>
      </c>
      <c r="E46" s="19">
        <v>3.0</v>
      </c>
      <c r="F46" s="23">
        <v>45239.0</v>
      </c>
      <c r="G46" s="28"/>
      <c r="H46" s="34" t="s">
        <v>483</v>
      </c>
      <c r="I46" s="19" t="s">
        <v>17</v>
      </c>
      <c r="J46" s="36" t="s">
        <v>494</v>
      </c>
      <c r="K46" s="19" t="s">
        <v>20</v>
      </c>
      <c r="L46" s="26"/>
      <c r="M46" s="11"/>
      <c r="N46" s="11"/>
      <c r="O46" s="11"/>
      <c r="P46" s="11"/>
      <c r="Q46" s="11"/>
      <c r="R46" s="11"/>
      <c r="S46" s="11"/>
      <c r="T46" s="11"/>
      <c r="U46" s="11"/>
      <c r="V46" s="11"/>
      <c r="W46" s="11"/>
      <c r="X46" s="11"/>
      <c r="Y46" s="11"/>
      <c r="Z46" s="11"/>
    </row>
    <row r="47" ht="61.5" customHeight="1">
      <c r="A47" s="27" t="s">
        <v>495</v>
      </c>
      <c r="B47" s="19" t="s">
        <v>159</v>
      </c>
      <c r="C47" s="6" t="s">
        <v>13</v>
      </c>
      <c r="D47" s="6" t="s">
        <v>13</v>
      </c>
      <c r="E47" s="19">
        <v>1.0</v>
      </c>
      <c r="F47" s="23">
        <v>45239.0</v>
      </c>
      <c r="G47" s="28"/>
      <c r="H47" s="34" t="s">
        <v>483</v>
      </c>
      <c r="I47" s="19" t="s">
        <v>17</v>
      </c>
      <c r="J47" s="36"/>
      <c r="K47" s="19" t="s">
        <v>20</v>
      </c>
      <c r="L47" s="26"/>
      <c r="M47" s="11"/>
      <c r="N47" s="11"/>
      <c r="O47" s="11"/>
      <c r="P47" s="11"/>
      <c r="Q47" s="11"/>
      <c r="R47" s="11"/>
      <c r="S47" s="11"/>
      <c r="T47" s="11"/>
      <c r="U47" s="11"/>
      <c r="V47" s="11"/>
      <c r="W47" s="11"/>
      <c r="X47" s="11"/>
      <c r="Y47" s="11"/>
      <c r="Z47" s="11"/>
    </row>
    <row r="48" ht="42.75" customHeight="1">
      <c r="A48" s="27" t="s">
        <v>496</v>
      </c>
      <c r="B48" s="19" t="s">
        <v>22</v>
      </c>
      <c r="C48" s="6" t="s">
        <v>40</v>
      </c>
      <c r="D48" s="6" t="s">
        <v>40</v>
      </c>
      <c r="E48" s="19">
        <v>3.0</v>
      </c>
      <c r="F48" s="23">
        <v>45241.0</v>
      </c>
      <c r="G48" s="28" t="s">
        <v>367</v>
      </c>
      <c r="H48" s="34" t="s">
        <v>497</v>
      </c>
      <c r="I48" s="19" t="s">
        <v>106</v>
      </c>
      <c r="J48" s="36"/>
      <c r="K48" s="19" t="s">
        <v>20</v>
      </c>
      <c r="L48" s="26"/>
      <c r="M48" s="11"/>
      <c r="N48" s="11"/>
      <c r="O48" s="11"/>
      <c r="P48" s="11"/>
      <c r="Q48" s="11"/>
      <c r="R48" s="11"/>
      <c r="S48" s="11"/>
      <c r="T48" s="11"/>
      <c r="U48" s="11"/>
      <c r="V48" s="11"/>
      <c r="W48" s="11"/>
      <c r="X48" s="11"/>
      <c r="Y48" s="11"/>
      <c r="Z48" s="11"/>
    </row>
    <row r="49" ht="38.25" customHeight="1">
      <c r="A49" s="41" t="s">
        <v>498</v>
      </c>
      <c r="B49" s="19" t="s">
        <v>159</v>
      </c>
      <c r="C49" s="6" t="s">
        <v>14</v>
      </c>
      <c r="D49" s="6" t="s">
        <v>14</v>
      </c>
      <c r="E49" s="19">
        <v>1.0</v>
      </c>
      <c r="F49" s="23">
        <v>45246.0</v>
      </c>
      <c r="G49" s="28"/>
      <c r="H49" s="34" t="s">
        <v>499</v>
      </c>
      <c r="I49" s="19" t="s">
        <v>58</v>
      </c>
      <c r="J49" s="36"/>
      <c r="K49" s="19" t="s">
        <v>161</v>
      </c>
      <c r="L49" s="26"/>
      <c r="M49" s="11"/>
      <c r="N49" s="11"/>
      <c r="O49" s="11"/>
      <c r="P49" s="11"/>
      <c r="Q49" s="11"/>
      <c r="R49" s="11"/>
      <c r="S49" s="11"/>
      <c r="T49" s="11"/>
      <c r="U49" s="11"/>
      <c r="V49" s="11"/>
      <c r="W49" s="11"/>
      <c r="X49" s="11"/>
      <c r="Y49" s="11"/>
      <c r="Z49" s="11"/>
    </row>
    <row r="50" ht="45.0" customHeight="1">
      <c r="A50" s="41" t="s">
        <v>500</v>
      </c>
      <c r="B50" s="19" t="s">
        <v>22</v>
      </c>
      <c r="C50" s="6" t="s">
        <v>14</v>
      </c>
      <c r="D50" s="6" t="s">
        <v>14</v>
      </c>
      <c r="E50" s="19">
        <v>3.0</v>
      </c>
      <c r="F50" s="23">
        <v>45246.0</v>
      </c>
      <c r="G50" s="28"/>
      <c r="H50" s="34" t="s">
        <v>501</v>
      </c>
      <c r="I50" s="19" t="s">
        <v>502</v>
      </c>
      <c r="J50" s="36" t="s">
        <v>503</v>
      </c>
      <c r="K50" s="19" t="s">
        <v>161</v>
      </c>
      <c r="L50" s="26"/>
      <c r="M50" s="11"/>
      <c r="N50" s="11"/>
      <c r="O50" s="11"/>
      <c r="P50" s="11"/>
      <c r="Q50" s="11"/>
      <c r="R50" s="11"/>
      <c r="S50" s="11"/>
      <c r="T50" s="11"/>
      <c r="U50" s="11"/>
      <c r="V50" s="11"/>
      <c r="W50" s="11"/>
      <c r="X50" s="11"/>
      <c r="Y50" s="11"/>
      <c r="Z50" s="11"/>
    </row>
    <row r="51" ht="22.5" customHeight="1">
      <c r="A51" s="41" t="s">
        <v>504</v>
      </c>
      <c r="B51" s="19" t="s">
        <v>22</v>
      </c>
      <c r="C51" s="6" t="s">
        <v>14</v>
      </c>
      <c r="D51" s="6" t="s">
        <v>14</v>
      </c>
      <c r="E51" s="19">
        <v>2.0</v>
      </c>
      <c r="F51" s="23">
        <v>45247.0</v>
      </c>
      <c r="G51" s="28" t="s">
        <v>367</v>
      </c>
      <c r="H51" s="34" t="s">
        <v>505</v>
      </c>
      <c r="I51" s="19" t="s">
        <v>492</v>
      </c>
      <c r="J51" s="36"/>
      <c r="K51" s="19" t="s">
        <v>161</v>
      </c>
      <c r="L51" s="26"/>
      <c r="M51" s="11"/>
      <c r="N51" s="11"/>
      <c r="O51" s="11"/>
      <c r="P51" s="11"/>
      <c r="Q51" s="11"/>
      <c r="R51" s="11"/>
      <c r="S51" s="11"/>
      <c r="T51" s="11"/>
      <c r="U51" s="11"/>
      <c r="V51" s="11"/>
      <c r="W51" s="11"/>
      <c r="X51" s="11"/>
      <c r="Y51" s="11"/>
      <c r="Z51" s="11"/>
    </row>
    <row r="52" ht="22.5" customHeight="1">
      <c r="A52" s="42" t="s">
        <v>506</v>
      </c>
      <c r="B52" s="19" t="s">
        <v>22</v>
      </c>
      <c r="C52" s="6" t="s">
        <v>14</v>
      </c>
      <c r="D52" s="6" t="s">
        <v>14</v>
      </c>
      <c r="E52" s="19">
        <v>2.0</v>
      </c>
      <c r="F52" s="23">
        <v>45247.0</v>
      </c>
      <c r="G52" s="28"/>
      <c r="H52" s="34" t="s">
        <v>499</v>
      </c>
      <c r="I52" s="19" t="s">
        <v>106</v>
      </c>
      <c r="J52" s="36"/>
      <c r="K52" s="19" t="s">
        <v>161</v>
      </c>
      <c r="L52" s="26"/>
      <c r="M52" s="11"/>
      <c r="N52" s="11"/>
      <c r="O52" s="11"/>
      <c r="P52" s="11"/>
      <c r="Q52" s="11"/>
      <c r="R52" s="11"/>
      <c r="S52" s="11"/>
      <c r="T52" s="11"/>
      <c r="U52" s="11"/>
      <c r="V52" s="11"/>
      <c r="W52" s="11"/>
      <c r="X52" s="11"/>
      <c r="Y52" s="11"/>
      <c r="Z52" s="11"/>
    </row>
    <row r="53" ht="27.75" customHeight="1">
      <c r="A53" s="27" t="s">
        <v>507</v>
      </c>
      <c r="B53" s="19" t="s">
        <v>22</v>
      </c>
      <c r="C53" s="6" t="s">
        <v>14</v>
      </c>
      <c r="D53" s="6" t="s">
        <v>13</v>
      </c>
      <c r="E53" s="19">
        <v>3.0</v>
      </c>
      <c r="F53" s="23">
        <v>45248.0</v>
      </c>
      <c r="G53" s="28"/>
      <c r="H53" s="34" t="s">
        <v>489</v>
      </c>
      <c r="I53" s="19" t="s">
        <v>481</v>
      </c>
      <c r="J53" s="36"/>
      <c r="K53" s="19" t="s">
        <v>161</v>
      </c>
      <c r="L53" s="26"/>
      <c r="M53" s="11"/>
      <c r="N53" s="11"/>
      <c r="O53" s="11"/>
      <c r="P53" s="11"/>
      <c r="Q53" s="11"/>
      <c r="R53" s="11"/>
      <c r="S53" s="11"/>
      <c r="T53" s="11"/>
      <c r="U53" s="11"/>
      <c r="V53" s="11"/>
      <c r="W53" s="11"/>
      <c r="X53" s="11"/>
      <c r="Y53" s="11"/>
      <c r="Z53" s="11"/>
    </row>
    <row r="54" ht="43.5" customHeight="1">
      <c r="A54" s="43" t="s">
        <v>508</v>
      </c>
      <c r="B54" s="19" t="s">
        <v>22</v>
      </c>
      <c r="C54" s="6" t="s">
        <v>63</v>
      </c>
      <c r="D54" s="6" t="s">
        <v>14</v>
      </c>
      <c r="E54" s="19">
        <v>3.0</v>
      </c>
      <c r="F54" s="23">
        <v>45353.0</v>
      </c>
      <c r="G54" s="28"/>
      <c r="H54" s="44" t="s">
        <v>483</v>
      </c>
      <c r="I54" s="19" t="s">
        <v>509</v>
      </c>
      <c r="J54" s="36" t="s">
        <v>510</v>
      </c>
      <c r="K54" s="19" t="s">
        <v>161</v>
      </c>
      <c r="L54" s="26"/>
      <c r="M54" s="11"/>
      <c r="N54" s="11"/>
      <c r="O54" s="11"/>
      <c r="P54" s="11"/>
      <c r="Q54" s="11"/>
      <c r="R54" s="11"/>
      <c r="S54" s="11"/>
      <c r="T54" s="11"/>
      <c r="U54" s="11"/>
      <c r="V54" s="11"/>
      <c r="W54" s="11"/>
      <c r="X54" s="11"/>
      <c r="Y54" s="11"/>
      <c r="Z54" s="11"/>
    </row>
    <row r="55" ht="60.75" customHeight="1">
      <c r="A55" s="43" t="s">
        <v>511</v>
      </c>
      <c r="B55" s="19" t="s">
        <v>22</v>
      </c>
      <c r="C55" s="6" t="s">
        <v>14</v>
      </c>
      <c r="D55" s="6" t="s">
        <v>14</v>
      </c>
      <c r="E55" s="19">
        <v>3.0</v>
      </c>
      <c r="F55" s="23">
        <v>45353.0</v>
      </c>
      <c r="G55" s="28" t="s">
        <v>364</v>
      </c>
      <c r="H55" s="44" t="s">
        <v>483</v>
      </c>
      <c r="I55" s="19" t="s">
        <v>58</v>
      </c>
      <c r="J55" s="36" t="s">
        <v>512</v>
      </c>
      <c r="K55" s="19" t="s">
        <v>161</v>
      </c>
      <c r="L55" s="26"/>
      <c r="M55" s="11"/>
      <c r="N55" s="11"/>
      <c r="O55" s="11"/>
      <c r="P55" s="11"/>
      <c r="Q55" s="11"/>
      <c r="R55" s="11"/>
      <c r="S55" s="11"/>
      <c r="T55" s="11"/>
      <c r="U55" s="11"/>
      <c r="V55" s="11"/>
      <c r="W55" s="11"/>
      <c r="X55" s="11"/>
      <c r="Y55" s="11"/>
      <c r="Z55" s="11"/>
    </row>
    <row r="56" ht="51.75" customHeight="1">
      <c r="A56" s="43" t="s">
        <v>513</v>
      </c>
      <c r="B56" s="19" t="s">
        <v>22</v>
      </c>
      <c r="C56" s="6" t="s">
        <v>76</v>
      </c>
      <c r="D56" s="6" t="s">
        <v>76</v>
      </c>
      <c r="E56" s="19">
        <v>8.0</v>
      </c>
      <c r="F56" s="23">
        <v>45356.0</v>
      </c>
      <c r="G56" s="28"/>
      <c r="H56" s="34" t="s">
        <v>483</v>
      </c>
      <c r="I56" s="19" t="s">
        <v>514</v>
      </c>
      <c r="J56" s="36" t="s">
        <v>515</v>
      </c>
      <c r="K56" s="19" t="s">
        <v>161</v>
      </c>
      <c r="L56" s="26"/>
      <c r="M56" s="11"/>
      <c r="N56" s="11"/>
      <c r="O56" s="11"/>
      <c r="P56" s="11"/>
      <c r="Q56" s="11"/>
      <c r="R56" s="11"/>
      <c r="S56" s="11"/>
      <c r="T56" s="11"/>
      <c r="U56" s="11"/>
      <c r="V56" s="11"/>
      <c r="W56" s="11"/>
      <c r="X56" s="11"/>
      <c r="Y56" s="11"/>
      <c r="Z56" s="11"/>
    </row>
    <row r="57" ht="45.0" customHeight="1">
      <c r="A57" s="43" t="s">
        <v>516</v>
      </c>
      <c r="B57" s="19" t="s">
        <v>22</v>
      </c>
      <c r="C57" s="6" t="s">
        <v>14</v>
      </c>
      <c r="D57" s="6" t="s">
        <v>14</v>
      </c>
      <c r="E57" s="19">
        <v>2.0</v>
      </c>
      <c r="F57" s="23">
        <v>45359.0</v>
      </c>
      <c r="G57" s="28" t="s">
        <v>364</v>
      </c>
      <c r="H57" s="45" t="s">
        <v>517</v>
      </c>
      <c r="I57" s="19" t="s">
        <v>518</v>
      </c>
      <c r="J57" s="36" t="s">
        <v>519</v>
      </c>
      <c r="K57" s="19" t="s">
        <v>161</v>
      </c>
      <c r="L57" s="26"/>
      <c r="M57" s="11"/>
      <c r="N57" s="11"/>
      <c r="O57" s="11"/>
      <c r="P57" s="11"/>
      <c r="Q57" s="11"/>
      <c r="R57" s="11"/>
      <c r="S57" s="11"/>
      <c r="T57" s="11"/>
      <c r="U57" s="11"/>
      <c r="V57" s="11"/>
      <c r="W57" s="11"/>
      <c r="X57" s="11"/>
      <c r="Y57" s="11"/>
      <c r="Z57" s="11"/>
    </row>
    <row r="58" ht="36.0" customHeight="1">
      <c r="A58" s="43" t="s">
        <v>520</v>
      </c>
      <c r="B58" s="19" t="s">
        <v>22</v>
      </c>
      <c r="C58" s="6" t="s">
        <v>13</v>
      </c>
      <c r="D58" s="6" t="s">
        <v>13</v>
      </c>
      <c r="E58" s="19">
        <v>3.0</v>
      </c>
      <c r="F58" s="23">
        <v>45360.0</v>
      </c>
      <c r="G58" s="28"/>
      <c r="H58" s="34" t="s">
        <v>521</v>
      </c>
      <c r="I58" s="19" t="s">
        <v>518</v>
      </c>
      <c r="J58" s="36" t="s">
        <v>522</v>
      </c>
      <c r="K58" s="19" t="s">
        <v>161</v>
      </c>
      <c r="L58" s="26"/>
      <c r="M58" s="11"/>
      <c r="N58" s="11"/>
      <c r="O58" s="11"/>
      <c r="P58" s="11"/>
      <c r="Q58" s="11"/>
      <c r="R58" s="11"/>
      <c r="S58" s="11"/>
      <c r="T58" s="11"/>
      <c r="U58" s="11"/>
      <c r="V58" s="11"/>
      <c r="W58" s="11"/>
      <c r="X58" s="11"/>
      <c r="Y58" s="11"/>
      <c r="Z58" s="11"/>
    </row>
    <row r="59" ht="82.5" customHeight="1">
      <c r="A59" s="46" t="s">
        <v>523</v>
      </c>
      <c r="B59" s="19" t="s">
        <v>22</v>
      </c>
      <c r="C59" s="6" t="s">
        <v>122</v>
      </c>
      <c r="D59" s="6" t="s">
        <v>122</v>
      </c>
      <c r="E59" s="19">
        <v>14.0</v>
      </c>
      <c r="F59" s="23">
        <v>45393.0</v>
      </c>
      <c r="G59" s="28" t="s">
        <v>447</v>
      </c>
      <c r="H59" s="45" t="s">
        <v>524</v>
      </c>
      <c r="I59" s="19" t="s">
        <v>525</v>
      </c>
      <c r="J59" s="47" t="s">
        <v>526</v>
      </c>
      <c r="K59" s="19" t="s">
        <v>161</v>
      </c>
      <c r="L59" s="26"/>
      <c r="M59" s="11"/>
      <c r="N59" s="11"/>
      <c r="O59" s="11"/>
      <c r="P59" s="11"/>
      <c r="Q59" s="11"/>
      <c r="R59" s="11"/>
      <c r="S59" s="11"/>
      <c r="T59" s="11"/>
      <c r="U59" s="11"/>
      <c r="V59" s="11"/>
      <c r="W59" s="11"/>
      <c r="X59" s="11"/>
      <c r="Y59" s="11"/>
      <c r="Z59" s="11"/>
    </row>
    <row r="60" ht="75.0" customHeight="1">
      <c r="A60" s="43" t="s">
        <v>527</v>
      </c>
      <c r="B60" s="19" t="s">
        <v>22</v>
      </c>
      <c r="C60" s="6" t="s">
        <v>13</v>
      </c>
      <c r="D60" s="6" t="s">
        <v>13</v>
      </c>
      <c r="E60" s="19">
        <v>5.0</v>
      </c>
      <c r="F60" s="23">
        <v>45394.0</v>
      </c>
      <c r="G60" s="28" t="s">
        <v>360</v>
      </c>
      <c r="H60" s="48" t="s">
        <v>386</v>
      </c>
      <c r="I60" s="19" t="s">
        <v>218</v>
      </c>
      <c r="J60" s="42" t="s">
        <v>528</v>
      </c>
      <c r="K60" s="19" t="s">
        <v>161</v>
      </c>
      <c r="L60" s="26"/>
      <c r="M60" s="11"/>
      <c r="N60" s="11"/>
      <c r="O60" s="11"/>
      <c r="P60" s="11"/>
      <c r="Q60" s="11"/>
      <c r="R60" s="11"/>
      <c r="S60" s="11"/>
      <c r="T60" s="11"/>
      <c r="U60" s="11"/>
      <c r="V60" s="11"/>
      <c r="W60" s="11"/>
      <c r="X60" s="11"/>
      <c r="Y60" s="11"/>
      <c r="Z60" s="11"/>
    </row>
    <row r="61" ht="76.5" customHeight="1">
      <c r="A61" s="43" t="s">
        <v>529</v>
      </c>
      <c r="B61" s="19" t="s">
        <v>22</v>
      </c>
      <c r="C61" s="6" t="s">
        <v>40</v>
      </c>
      <c r="D61" s="6" t="s">
        <v>13</v>
      </c>
      <c r="E61" s="19">
        <v>2.0</v>
      </c>
      <c r="F61" s="23">
        <v>45395.0</v>
      </c>
      <c r="G61" s="28" t="s">
        <v>367</v>
      </c>
      <c r="H61" s="48" t="s">
        <v>530</v>
      </c>
      <c r="I61" s="19" t="s">
        <v>218</v>
      </c>
      <c r="J61" s="42" t="s">
        <v>531</v>
      </c>
      <c r="K61" s="19" t="s">
        <v>161</v>
      </c>
      <c r="L61" s="26"/>
      <c r="M61" s="11"/>
      <c r="N61" s="11"/>
      <c r="O61" s="11"/>
      <c r="P61" s="11"/>
      <c r="Q61" s="11"/>
      <c r="R61" s="11"/>
      <c r="S61" s="11"/>
      <c r="T61" s="11"/>
      <c r="U61" s="11"/>
      <c r="V61" s="11"/>
      <c r="W61" s="11"/>
      <c r="X61" s="11"/>
      <c r="Y61" s="11"/>
      <c r="Z61" s="11"/>
    </row>
    <row r="62" ht="77.25" customHeight="1">
      <c r="A62" s="43" t="s">
        <v>532</v>
      </c>
      <c r="B62" s="19" t="s">
        <v>22</v>
      </c>
      <c r="C62" s="6" t="s">
        <v>13</v>
      </c>
      <c r="D62" s="6" t="s">
        <v>13</v>
      </c>
      <c r="E62" s="19">
        <v>2.0</v>
      </c>
      <c r="F62" s="23">
        <v>45396.0</v>
      </c>
      <c r="G62" s="28" t="s">
        <v>367</v>
      </c>
      <c r="H62" s="48" t="s">
        <v>533</v>
      </c>
      <c r="I62" s="19" t="s">
        <v>218</v>
      </c>
      <c r="J62" s="42" t="s">
        <v>534</v>
      </c>
      <c r="K62" s="19" t="s">
        <v>161</v>
      </c>
      <c r="L62" s="26"/>
      <c r="M62" s="11"/>
      <c r="N62" s="11"/>
      <c r="O62" s="11"/>
      <c r="P62" s="11"/>
      <c r="Q62" s="11"/>
      <c r="R62" s="11"/>
      <c r="S62" s="11"/>
      <c r="T62" s="11"/>
      <c r="U62" s="11"/>
      <c r="V62" s="11"/>
      <c r="W62" s="11"/>
      <c r="X62" s="11"/>
      <c r="Y62" s="11"/>
      <c r="Z62" s="11"/>
    </row>
    <row r="63" ht="22.5" customHeight="1">
      <c r="A63" s="43" t="s">
        <v>535</v>
      </c>
      <c r="B63" s="19" t="s">
        <v>22</v>
      </c>
      <c r="C63" s="6" t="s">
        <v>13</v>
      </c>
      <c r="D63" s="6" t="s">
        <v>40</v>
      </c>
      <c r="E63" s="19">
        <v>7.0</v>
      </c>
      <c r="F63" s="23">
        <v>45458.0</v>
      </c>
      <c r="G63" s="28" t="s">
        <v>447</v>
      </c>
      <c r="H63" s="49" t="s">
        <v>383</v>
      </c>
      <c r="I63" s="19" t="s">
        <v>536</v>
      </c>
      <c r="J63" s="42" t="s">
        <v>537</v>
      </c>
      <c r="K63" s="19" t="s">
        <v>20</v>
      </c>
      <c r="L63" s="26"/>
      <c r="M63" s="11"/>
      <c r="N63" s="11"/>
      <c r="O63" s="11"/>
      <c r="P63" s="11"/>
      <c r="Q63" s="11"/>
      <c r="R63" s="11"/>
      <c r="S63" s="11"/>
      <c r="T63" s="11"/>
      <c r="U63" s="11"/>
      <c r="V63" s="11"/>
      <c r="W63" s="11"/>
      <c r="X63" s="11"/>
      <c r="Y63" s="11"/>
      <c r="Z63" s="11"/>
    </row>
    <row r="64" ht="149.25" customHeight="1">
      <c r="A64" s="43" t="s">
        <v>538</v>
      </c>
      <c r="B64" s="19" t="s">
        <v>22</v>
      </c>
      <c r="C64" s="6" t="s">
        <v>14</v>
      </c>
      <c r="D64" s="6" t="s">
        <v>14</v>
      </c>
      <c r="E64" s="19">
        <v>3.0</v>
      </c>
      <c r="F64" s="23">
        <v>45466.0</v>
      </c>
      <c r="G64" s="28"/>
      <c r="H64" s="50" t="s">
        <v>539</v>
      </c>
      <c r="I64" s="19" t="s">
        <v>218</v>
      </c>
      <c r="J64" s="42" t="s">
        <v>540</v>
      </c>
      <c r="K64" s="19" t="s">
        <v>20</v>
      </c>
      <c r="L64" s="26"/>
      <c r="M64" s="11"/>
      <c r="N64" s="11"/>
      <c r="O64" s="11"/>
      <c r="P64" s="11"/>
      <c r="Q64" s="11"/>
      <c r="R64" s="11"/>
      <c r="S64" s="11"/>
      <c r="T64" s="11"/>
      <c r="U64" s="11"/>
      <c r="V64" s="11"/>
      <c r="W64" s="11"/>
      <c r="X64" s="11"/>
      <c r="Y64" s="11"/>
      <c r="Z64" s="11"/>
    </row>
    <row r="65" ht="123.0" customHeight="1">
      <c r="A65" s="43" t="s">
        <v>541</v>
      </c>
      <c r="B65" s="19" t="s">
        <v>22</v>
      </c>
      <c r="C65" s="6" t="s">
        <v>14</v>
      </c>
      <c r="D65" s="6" t="s">
        <v>63</v>
      </c>
      <c r="E65" s="19">
        <v>3.0</v>
      </c>
      <c r="F65" s="23">
        <v>45467.0</v>
      </c>
      <c r="G65" s="28"/>
      <c r="H65" s="50" t="s">
        <v>383</v>
      </c>
      <c r="I65" s="19" t="s">
        <v>218</v>
      </c>
      <c r="J65" s="42" t="s">
        <v>542</v>
      </c>
      <c r="K65" s="19" t="s">
        <v>20</v>
      </c>
      <c r="L65" s="26"/>
      <c r="M65" s="11"/>
      <c r="N65" s="11"/>
      <c r="O65" s="11"/>
      <c r="P65" s="11"/>
      <c r="Q65" s="11"/>
      <c r="R65" s="11"/>
      <c r="S65" s="11"/>
      <c r="T65" s="11"/>
      <c r="U65" s="11"/>
      <c r="V65" s="11"/>
      <c r="W65" s="11"/>
      <c r="X65" s="11"/>
      <c r="Y65" s="11"/>
      <c r="Z65" s="11"/>
    </row>
    <row r="66" ht="38.25" customHeight="1">
      <c r="A66" s="43" t="s">
        <v>543</v>
      </c>
      <c r="B66" s="19" t="s">
        <v>22</v>
      </c>
      <c r="C66" s="6" t="s">
        <v>13</v>
      </c>
      <c r="D66" s="6" t="s">
        <v>13</v>
      </c>
      <c r="E66" s="19">
        <v>2.0</v>
      </c>
      <c r="F66" s="23">
        <v>45469.0</v>
      </c>
      <c r="G66" s="28" t="s">
        <v>367</v>
      </c>
      <c r="H66" s="49" t="s">
        <v>544</v>
      </c>
      <c r="I66" s="19" t="s">
        <v>545</v>
      </c>
      <c r="J66" s="42" t="s">
        <v>546</v>
      </c>
      <c r="K66" s="19" t="s">
        <v>547</v>
      </c>
      <c r="L66" s="26"/>
      <c r="M66" s="11"/>
      <c r="N66" s="11"/>
      <c r="O66" s="11"/>
      <c r="P66" s="11"/>
      <c r="Q66" s="11"/>
      <c r="R66" s="11"/>
      <c r="S66" s="11"/>
      <c r="T66" s="11"/>
      <c r="U66" s="11"/>
      <c r="V66" s="11"/>
      <c r="W66" s="11"/>
      <c r="X66" s="11"/>
      <c r="Y66" s="11"/>
      <c r="Z66" s="11"/>
    </row>
    <row r="67" ht="45.0" customHeight="1">
      <c r="A67" s="43" t="s">
        <v>548</v>
      </c>
      <c r="B67" s="19" t="s">
        <v>15</v>
      </c>
      <c r="C67" s="6" t="s">
        <v>13</v>
      </c>
      <c r="D67" s="6" t="s">
        <v>63</v>
      </c>
      <c r="E67" s="19">
        <v>1.0</v>
      </c>
      <c r="F67" s="23">
        <v>45469.0</v>
      </c>
      <c r="G67" s="28" t="s">
        <v>375</v>
      </c>
      <c r="H67" s="49" t="s">
        <v>544</v>
      </c>
      <c r="I67" s="19" t="s">
        <v>502</v>
      </c>
      <c r="J67" s="42" t="s">
        <v>549</v>
      </c>
      <c r="K67" s="19" t="s">
        <v>547</v>
      </c>
      <c r="L67" s="26"/>
      <c r="M67" s="11"/>
      <c r="N67" s="11"/>
      <c r="O67" s="11"/>
      <c r="P67" s="11"/>
      <c r="Q67" s="11"/>
      <c r="R67" s="11"/>
      <c r="S67" s="11"/>
      <c r="T67" s="11"/>
      <c r="U67" s="11"/>
      <c r="V67" s="11"/>
      <c r="W67" s="11"/>
      <c r="X67" s="11"/>
      <c r="Y67" s="11"/>
      <c r="Z67" s="11"/>
    </row>
    <row r="68" ht="51.75" customHeight="1">
      <c r="A68" s="51" t="s">
        <v>550</v>
      </c>
      <c r="B68" s="19" t="s">
        <v>22</v>
      </c>
      <c r="C68" s="6" t="s">
        <v>63</v>
      </c>
      <c r="D68" s="6" t="s">
        <v>63</v>
      </c>
      <c r="E68" s="19">
        <v>2.0</v>
      </c>
      <c r="F68" s="23">
        <v>45497.0</v>
      </c>
      <c r="G68" s="28" t="s">
        <v>367</v>
      </c>
      <c r="H68" s="52" t="s">
        <v>551</v>
      </c>
      <c r="I68" s="19" t="s">
        <v>106</v>
      </c>
      <c r="J68" s="42" t="s">
        <v>552</v>
      </c>
      <c r="K68" s="19" t="s">
        <v>161</v>
      </c>
      <c r="L68" s="26"/>
      <c r="M68" s="11"/>
      <c r="N68" s="11"/>
      <c r="O68" s="11"/>
      <c r="P68" s="11"/>
      <c r="Q68" s="11"/>
      <c r="R68" s="11"/>
      <c r="S68" s="11"/>
      <c r="T68" s="11"/>
      <c r="U68" s="11"/>
      <c r="V68" s="11"/>
      <c r="W68" s="11"/>
      <c r="X68" s="11"/>
      <c r="Y68" s="11"/>
      <c r="Z68" s="11"/>
    </row>
    <row r="69" ht="51.75" customHeight="1">
      <c r="A69" s="51" t="s">
        <v>553</v>
      </c>
      <c r="B69" s="19" t="s">
        <v>22</v>
      </c>
      <c r="C69" s="6" t="s">
        <v>122</v>
      </c>
      <c r="D69" s="6" t="s">
        <v>122</v>
      </c>
      <c r="E69" s="53">
        <v>19.0</v>
      </c>
      <c r="F69" s="23">
        <v>45580.0</v>
      </c>
      <c r="G69" s="28" t="s">
        <v>367</v>
      </c>
      <c r="H69" s="52" t="s">
        <v>554</v>
      </c>
      <c r="I69" s="19" t="s">
        <v>218</v>
      </c>
      <c r="J69" s="42" t="s">
        <v>555</v>
      </c>
      <c r="K69" s="19" t="s">
        <v>161</v>
      </c>
      <c r="L69" s="54"/>
      <c r="M69" s="11"/>
      <c r="N69" s="11"/>
      <c r="O69" s="11"/>
      <c r="P69" s="11"/>
      <c r="Q69" s="11"/>
      <c r="R69" s="11"/>
      <c r="S69" s="11"/>
      <c r="T69" s="11"/>
      <c r="U69" s="11"/>
      <c r="V69" s="11"/>
      <c r="W69" s="11"/>
      <c r="X69" s="11"/>
      <c r="Y69" s="11"/>
      <c r="Z69" s="11"/>
    </row>
    <row r="70" ht="48.75" customHeight="1">
      <c r="A70" s="51" t="s">
        <v>556</v>
      </c>
      <c r="B70" s="19" t="s">
        <v>22</v>
      </c>
      <c r="C70" s="6" t="s">
        <v>14</v>
      </c>
      <c r="D70" s="6" t="s">
        <v>14</v>
      </c>
      <c r="E70" s="53">
        <v>2.0</v>
      </c>
      <c r="F70" s="23">
        <v>45592.0</v>
      </c>
      <c r="G70" s="28" t="s">
        <v>367</v>
      </c>
      <c r="H70" s="52" t="s">
        <v>557</v>
      </c>
      <c r="I70" s="19" t="s">
        <v>218</v>
      </c>
      <c r="J70" s="42"/>
      <c r="K70" s="19" t="s">
        <v>558</v>
      </c>
      <c r="L70" s="54"/>
      <c r="M70" s="11"/>
      <c r="N70" s="11"/>
      <c r="O70" s="11"/>
      <c r="P70" s="11"/>
      <c r="Q70" s="11"/>
      <c r="R70" s="11"/>
      <c r="S70" s="11"/>
      <c r="T70" s="11"/>
      <c r="U70" s="11"/>
      <c r="V70" s="11"/>
      <c r="W70" s="11"/>
      <c r="X70" s="11"/>
      <c r="Y70" s="11"/>
      <c r="Z70" s="11"/>
    </row>
    <row r="71" ht="52.5" customHeight="1">
      <c r="A71" s="51" t="s">
        <v>559</v>
      </c>
      <c r="B71" s="19" t="s">
        <v>159</v>
      </c>
      <c r="C71" s="6" t="s">
        <v>14</v>
      </c>
      <c r="D71" s="6" t="s">
        <v>14</v>
      </c>
      <c r="E71" s="53">
        <v>1.0</v>
      </c>
      <c r="F71" s="23">
        <v>45593.0</v>
      </c>
      <c r="G71" s="28" t="s">
        <v>364</v>
      </c>
      <c r="H71" s="52" t="s">
        <v>557</v>
      </c>
      <c r="I71" s="19" t="s">
        <v>218</v>
      </c>
      <c r="J71" s="42"/>
      <c r="K71" s="19" t="s">
        <v>558</v>
      </c>
      <c r="L71" s="54"/>
      <c r="M71" s="11"/>
      <c r="N71" s="11"/>
      <c r="O71" s="11"/>
      <c r="P71" s="11"/>
      <c r="Q71" s="11"/>
      <c r="R71" s="11"/>
      <c r="S71" s="11"/>
      <c r="T71" s="11"/>
      <c r="U71" s="11"/>
      <c r="V71" s="11"/>
      <c r="W71" s="11"/>
      <c r="X71" s="11"/>
      <c r="Y71" s="11"/>
      <c r="Z71" s="11"/>
    </row>
    <row r="72" ht="53.25" customHeight="1">
      <c r="A72" s="51" t="s">
        <v>560</v>
      </c>
      <c r="B72" s="19" t="s">
        <v>22</v>
      </c>
      <c r="C72" s="6" t="s">
        <v>122</v>
      </c>
      <c r="D72" s="6" t="s">
        <v>122</v>
      </c>
      <c r="E72" s="53">
        <v>6.0</v>
      </c>
      <c r="F72" s="23">
        <v>45594.0</v>
      </c>
      <c r="G72" s="28" t="s">
        <v>447</v>
      </c>
      <c r="H72" s="52" t="s">
        <v>561</v>
      </c>
      <c r="I72" s="19" t="s">
        <v>218</v>
      </c>
      <c r="J72" s="42" t="s">
        <v>562</v>
      </c>
      <c r="K72" s="19" t="s">
        <v>558</v>
      </c>
      <c r="L72" s="54"/>
      <c r="M72" s="11"/>
      <c r="N72" s="11"/>
      <c r="O72" s="11"/>
      <c r="P72" s="11"/>
      <c r="Q72" s="11"/>
      <c r="R72" s="11"/>
      <c r="S72" s="11"/>
      <c r="T72" s="11"/>
      <c r="U72" s="11"/>
      <c r="V72" s="11"/>
      <c r="W72" s="11"/>
      <c r="X72" s="11"/>
      <c r="Y72" s="11"/>
      <c r="Z72" s="11"/>
    </row>
    <row r="73" ht="54.0" customHeight="1">
      <c r="A73" s="51" t="s">
        <v>563</v>
      </c>
      <c r="B73" s="19" t="s">
        <v>22</v>
      </c>
      <c r="C73" s="6" t="s">
        <v>13</v>
      </c>
      <c r="D73" s="6" t="s">
        <v>40</v>
      </c>
      <c r="E73" s="53">
        <v>2.0</v>
      </c>
      <c r="F73" s="23">
        <v>45598.0</v>
      </c>
      <c r="G73" s="28" t="s">
        <v>375</v>
      </c>
      <c r="H73" s="52" t="s">
        <v>564</v>
      </c>
      <c r="I73" s="19" t="s">
        <v>565</v>
      </c>
      <c r="J73" s="42" t="s">
        <v>566</v>
      </c>
      <c r="K73" s="19" t="s">
        <v>558</v>
      </c>
      <c r="L73" s="54"/>
      <c r="M73" s="11"/>
      <c r="N73" s="11"/>
      <c r="O73" s="11"/>
      <c r="P73" s="11"/>
      <c r="Q73" s="11"/>
      <c r="R73" s="11"/>
      <c r="S73" s="11"/>
      <c r="T73" s="11"/>
      <c r="U73" s="11"/>
      <c r="V73" s="11"/>
      <c r="W73" s="11"/>
      <c r="X73" s="11"/>
      <c r="Y73" s="11"/>
      <c r="Z73" s="11"/>
    </row>
    <row r="74" ht="54.0" customHeight="1">
      <c r="A74" s="51" t="s">
        <v>567</v>
      </c>
      <c r="B74" s="19" t="s">
        <v>22</v>
      </c>
      <c r="C74" s="6" t="s">
        <v>14</v>
      </c>
      <c r="D74" s="6" t="s">
        <v>14</v>
      </c>
      <c r="E74" s="53">
        <v>2.0</v>
      </c>
      <c r="F74" s="23">
        <v>45601.0</v>
      </c>
      <c r="G74" s="28" t="s">
        <v>447</v>
      </c>
      <c r="H74" s="52" t="s">
        <v>557</v>
      </c>
      <c r="I74" s="19" t="s">
        <v>106</v>
      </c>
      <c r="J74" s="42" t="s">
        <v>568</v>
      </c>
      <c r="K74" s="19" t="s">
        <v>161</v>
      </c>
      <c r="L74" s="54"/>
      <c r="M74" s="11"/>
      <c r="N74" s="11"/>
      <c r="O74" s="11"/>
      <c r="P74" s="11"/>
      <c r="Q74" s="11"/>
      <c r="R74" s="11"/>
      <c r="S74" s="11"/>
      <c r="T74" s="11"/>
      <c r="U74" s="11"/>
      <c r="V74" s="11"/>
      <c r="W74" s="11"/>
      <c r="X74" s="11"/>
      <c r="Y74" s="11"/>
      <c r="Z74" s="11"/>
    </row>
    <row r="75" ht="22.5" customHeight="1">
      <c r="A75" s="51" t="s">
        <v>569</v>
      </c>
      <c r="B75" s="19" t="s">
        <v>22</v>
      </c>
      <c r="C75" s="6" t="s">
        <v>63</v>
      </c>
      <c r="D75" s="6" t="s">
        <v>63</v>
      </c>
      <c r="E75" s="53">
        <v>2.0</v>
      </c>
      <c r="F75" s="23">
        <v>45602.0</v>
      </c>
      <c r="G75" s="28"/>
      <c r="H75" s="52" t="s">
        <v>570</v>
      </c>
      <c r="I75" s="19" t="s">
        <v>571</v>
      </c>
      <c r="J75" s="42"/>
      <c r="K75" s="19" t="s">
        <v>103</v>
      </c>
      <c r="L75" s="54"/>
      <c r="M75" s="11"/>
      <c r="N75" s="11"/>
      <c r="O75" s="11"/>
      <c r="P75" s="11"/>
      <c r="Q75" s="11"/>
      <c r="R75" s="11"/>
      <c r="S75" s="11"/>
      <c r="T75" s="11"/>
      <c r="U75" s="11"/>
      <c r="V75" s="11"/>
      <c r="W75" s="11"/>
      <c r="X75" s="11"/>
      <c r="Y75" s="11"/>
      <c r="Z75" s="11"/>
    </row>
    <row r="76" ht="22.5" customHeight="1">
      <c r="A76" s="51" t="s">
        <v>572</v>
      </c>
      <c r="B76" s="19" t="s">
        <v>15</v>
      </c>
      <c r="C76" s="6" t="s">
        <v>14</v>
      </c>
      <c r="D76" s="6" t="s">
        <v>81</v>
      </c>
      <c r="E76" s="53">
        <v>1.0</v>
      </c>
      <c r="F76" s="23">
        <v>45605.0</v>
      </c>
      <c r="G76" s="28" t="s">
        <v>367</v>
      </c>
      <c r="H76" s="52" t="s">
        <v>573</v>
      </c>
      <c r="I76" s="19" t="s">
        <v>571</v>
      </c>
      <c r="J76" s="42"/>
      <c r="K76" s="19" t="s">
        <v>161</v>
      </c>
      <c r="L76" s="54"/>
      <c r="M76" s="11"/>
      <c r="N76" s="11"/>
      <c r="O76" s="11"/>
      <c r="P76" s="11"/>
      <c r="Q76" s="11"/>
      <c r="R76" s="11"/>
      <c r="S76" s="11"/>
      <c r="T76" s="11"/>
      <c r="U76" s="11"/>
      <c r="V76" s="11"/>
      <c r="W76" s="11"/>
      <c r="X76" s="11"/>
      <c r="Y76" s="11"/>
      <c r="Z76" s="11"/>
    </row>
    <row r="77" ht="22.5" customHeight="1">
      <c r="A77" s="51" t="s">
        <v>574</v>
      </c>
      <c r="B77" s="19" t="s">
        <v>22</v>
      </c>
      <c r="C77" s="6" t="s">
        <v>122</v>
      </c>
      <c r="D77" s="6" t="s">
        <v>40</v>
      </c>
      <c r="E77" s="53">
        <v>2.0</v>
      </c>
      <c r="F77" s="23">
        <v>45605.0</v>
      </c>
      <c r="G77" s="28" t="s">
        <v>375</v>
      </c>
      <c r="H77" s="52" t="s">
        <v>573</v>
      </c>
      <c r="I77" s="19" t="s">
        <v>575</v>
      </c>
      <c r="J77" s="42" t="s">
        <v>576</v>
      </c>
      <c r="K77" s="19" t="s">
        <v>161</v>
      </c>
      <c r="L77" s="54"/>
      <c r="M77" s="11"/>
      <c r="N77" s="11"/>
      <c r="O77" s="11"/>
      <c r="P77" s="11"/>
      <c r="Q77" s="11"/>
      <c r="R77" s="11"/>
      <c r="S77" s="11"/>
      <c r="T77" s="11"/>
      <c r="U77" s="11"/>
      <c r="V77" s="11"/>
      <c r="W77" s="11"/>
      <c r="X77" s="11"/>
      <c r="Y77" s="11"/>
      <c r="Z77" s="11"/>
    </row>
    <row r="78" ht="72.75" customHeight="1">
      <c r="A78" s="51" t="s">
        <v>577</v>
      </c>
      <c r="B78" s="19" t="s">
        <v>22</v>
      </c>
      <c r="C78" s="6" t="s">
        <v>122</v>
      </c>
      <c r="D78" s="6" t="s">
        <v>122</v>
      </c>
      <c r="E78" s="53">
        <v>20.0</v>
      </c>
      <c r="F78" s="23">
        <v>45620.0</v>
      </c>
      <c r="G78" s="28" t="s">
        <v>367</v>
      </c>
      <c r="H78" s="52" t="s">
        <v>578</v>
      </c>
      <c r="I78" s="19" t="s">
        <v>106</v>
      </c>
      <c r="J78" s="42" t="s">
        <v>579</v>
      </c>
      <c r="K78" s="19" t="s">
        <v>79</v>
      </c>
      <c r="L78" s="54"/>
      <c r="M78" s="11"/>
      <c r="N78" s="11"/>
      <c r="O78" s="11"/>
      <c r="P78" s="11"/>
      <c r="Q78" s="11"/>
      <c r="R78" s="11"/>
      <c r="S78" s="11"/>
      <c r="T78" s="11"/>
      <c r="U78" s="11"/>
      <c r="V78" s="11"/>
      <c r="W78" s="11"/>
      <c r="X78" s="11"/>
      <c r="Y78" s="11"/>
      <c r="Z78" s="11"/>
    </row>
    <row r="79" ht="70.5" customHeight="1">
      <c r="A79" s="51" t="s">
        <v>580</v>
      </c>
      <c r="B79" s="19" t="s">
        <v>22</v>
      </c>
      <c r="C79" s="6" t="s">
        <v>122</v>
      </c>
      <c r="D79" s="6" t="s">
        <v>122</v>
      </c>
      <c r="E79" s="53">
        <v>20.0</v>
      </c>
      <c r="F79" s="23">
        <v>45621.0</v>
      </c>
      <c r="G79" s="28" t="s">
        <v>447</v>
      </c>
      <c r="H79" s="52" t="s">
        <v>581</v>
      </c>
      <c r="I79" s="19" t="s">
        <v>582</v>
      </c>
      <c r="J79" s="42" t="s">
        <v>583</v>
      </c>
      <c r="K79" s="19" t="s">
        <v>161</v>
      </c>
      <c r="L79" s="54"/>
      <c r="M79" s="11"/>
      <c r="N79" s="11"/>
      <c r="O79" s="11"/>
      <c r="P79" s="11"/>
      <c r="Q79" s="11"/>
      <c r="R79" s="11"/>
      <c r="S79" s="11"/>
      <c r="T79" s="11"/>
      <c r="U79" s="11"/>
      <c r="V79" s="11"/>
      <c r="W79" s="11"/>
      <c r="X79" s="11"/>
      <c r="Y79" s="11"/>
      <c r="Z79" s="11"/>
    </row>
    <row r="80" ht="78.75" customHeight="1">
      <c r="A80" s="51" t="s">
        <v>584</v>
      </c>
      <c r="B80" s="19" t="s">
        <v>22</v>
      </c>
      <c r="C80" s="6" t="s">
        <v>13</v>
      </c>
      <c r="D80" s="6" t="s">
        <v>13</v>
      </c>
      <c r="E80" s="53">
        <v>3.0</v>
      </c>
      <c r="F80" s="23">
        <v>45704.0</v>
      </c>
      <c r="G80" s="28" t="s">
        <v>367</v>
      </c>
      <c r="H80" s="52" t="s">
        <v>585</v>
      </c>
      <c r="I80" s="19" t="s">
        <v>586</v>
      </c>
      <c r="J80" s="42"/>
      <c r="K80" s="19" t="s">
        <v>587</v>
      </c>
      <c r="L80" s="54"/>
      <c r="M80" s="11"/>
      <c r="N80" s="11"/>
      <c r="O80" s="11"/>
      <c r="P80" s="11"/>
      <c r="Q80" s="11"/>
      <c r="R80" s="11"/>
      <c r="S80" s="11"/>
      <c r="T80" s="11"/>
      <c r="U80" s="11"/>
      <c r="V80" s="11"/>
      <c r="W80" s="11"/>
      <c r="X80" s="11"/>
      <c r="Y80" s="11"/>
      <c r="Z80" s="11"/>
    </row>
    <row r="81" ht="64.5" customHeight="1">
      <c r="A81" s="51" t="s">
        <v>588</v>
      </c>
      <c r="B81" s="19" t="s">
        <v>159</v>
      </c>
      <c r="C81" s="6" t="s">
        <v>13</v>
      </c>
      <c r="D81" s="6" t="s">
        <v>13</v>
      </c>
      <c r="E81" s="53">
        <v>1.0</v>
      </c>
      <c r="F81" s="23">
        <v>45710.0</v>
      </c>
      <c r="G81" s="28" t="s">
        <v>364</v>
      </c>
      <c r="H81" s="52" t="s">
        <v>589</v>
      </c>
      <c r="I81" s="19" t="s">
        <v>571</v>
      </c>
      <c r="J81" s="42"/>
      <c r="K81" s="19" t="s">
        <v>587</v>
      </c>
      <c r="L81" s="54"/>
      <c r="M81" s="11"/>
      <c r="N81" s="11"/>
      <c r="O81" s="11"/>
      <c r="P81" s="11"/>
      <c r="Q81" s="11"/>
      <c r="R81" s="11"/>
      <c r="S81" s="11"/>
      <c r="T81" s="11"/>
      <c r="U81" s="11"/>
      <c r="V81" s="11"/>
      <c r="W81" s="11"/>
      <c r="X81" s="11"/>
      <c r="Y81" s="11"/>
      <c r="Z81" s="11"/>
    </row>
    <row r="82" ht="64.5" customHeight="1">
      <c r="A82" s="51" t="s">
        <v>590</v>
      </c>
      <c r="B82" s="19" t="s">
        <v>22</v>
      </c>
      <c r="C82" s="6" t="s">
        <v>14</v>
      </c>
      <c r="D82" s="6" t="s">
        <v>63</v>
      </c>
      <c r="E82" s="53">
        <v>2.0</v>
      </c>
      <c r="F82" s="23">
        <v>45710.0</v>
      </c>
      <c r="G82" s="28" t="s">
        <v>364</v>
      </c>
      <c r="H82" s="52" t="s">
        <v>589</v>
      </c>
      <c r="I82" s="19" t="s">
        <v>591</v>
      </c>
      <c r="J82" s="42"/>
      <c r="K82" s="19" t="s">
        <v>587</v>
      </c>
      <c r="L82" s="54"/>
      <c r="M82" s="11"/>
      <c r="N82" s="11"/>
      <c r="O82" s="11"/>
      <c r="P82" s="11"/>
      <c r="Q82" s="11"/>
      <c r="R82" s="11"/>
      <c r="S82" s="11"/>
      <c r="T82" s="11"/>
      <c r="U82" s="11"/>
      <c r="V82" s="11"/>
      <c r="W82" s="11"/>
      <c r="X82" s="11"/>
      <c r="Y82" s="11"/>
      <c r="Z82" s="11"/>
    </row>
    <row r="83" ht="66.0" customHeight="1">
      <c r="A83" s="51" t="s">
        <v>592</v>
      </c>
      <c r="B83" s="19" t="s">
        <v>22</v>
      </c>
      <c r="C83" s="6" t="s">
        <v>267</v>
      </c>
      <c r="D83" s="6" t="s">
        <v>267</v>
      </c>
      <c r="E83" s="53">
        <v>7.0</v>
      </c>
      <c r="F83" s="23">
        <v>45717.0</v>
      </c>
      <c r="G83" s="28" t="s">
        <v>447</v>
      </c>
      <c r="H83" s="52" t="s">
        <v>370</v>
      </c>
      <c r="I83" s="19" t="s">
        <v>218</v>
      </c>
      <c r="J83" s="42" t="s">
        <v>593</v>
      </c>
      <c r="K83" s="19" t="s">
        <v>161</v>
      </c>
      <c r="L83" s="54"/>
      <c r="M83" s="11"/>
      <c r="N83" s="11"/>
      <c r="O83" s="11"/>
      <c r="P83" s="11"/>
      <c r="Q83" s="11"/>
      <c r="R83" s="11"/>
      <c r="S83" s="11"/>
      <c r="T83" s="11"/>
      <c r="U83" s="11"/>
      <c r="V83" s="11"/>
      <c r="W83" s="11"/>
      <c r="X83" s="11"/>
      <c r="Y83" s="11"/>
      <c r="Z83" s="11"/>
    </row>
    <row r="84" ht="53.25" customHeight="1">
      <c r="A84" s="51" t="s">
        <v>594</v>
      </c>
      <c r="B84" s="19" t="s">
        <v>22</v>
      </c>
      <c r="C84" s="6" t="s">
        <v>122</v>
      </c>
      <c r="D84" s="6" t="s">
        <v>122</v>
      </c>
      <c r="E84" s="53">
        <v>6.0</v>
      </c>
      <c r="F84" s="23">
        <v>45722.0</v>
      </c>
      <c r="G84" s="28" t="s">
        <v>367</v>
      </c>
      <c r="H84" s="52" t="s">
        <v>595</v>
      </c>
      <c r="I84" s="19" t="s">
        <v>218</v>
      </c>
      <c r="J84" s="42" t="s">
        <v>596</v>
      </c>
      <c r="K84" s="19" t="s">
        <v>161</v>
      </c>
      <c r="L84" s="54"/>
      <c r="M84" s="11"/>
      <c r="N84" s="11"/>
      <c r="O84" s="11"/>
      <c r="P84" s="11"/>
      <c r="Q84" s="11"/>
      <c r="R84" s="11"/>
      <c r="S84" s="11"/>
      <c r="T84" s="11"/>
      <c r="U84" s="11"/>
      <c r="V84" s="11"/>
      <c r="W84" s="11"/>
      <c r="X84" s="11"/>
      <c r="Y84" s="11"/>
      <c r="Z84" s="11"/>
    </row>
    <row r="85" ht="76.5" customHeight="1">
      <c r="A85" s="51" t="s">
        <v>597</v>
      </c>
      <c r="B85" s="19" t="s">
        <v>15</v>
      </c>
      <c r="C85" s="6" t="s">
        <v>14</v>
      </c>
      <c r="D85" s="6" t="s">
        <v>63</v>
      </c>
      <c r="E85" s="53">
        <v>1.0</v>
      </c>
      <c r="F85" s="23">
        <v>45723.0</v>
      </c>
      <c r="G85" s="28" t="s">
        <v>364</v>
      </c>
      <c r="H85" s="52" t="s">
        <v>598</v>
      </c>
      <c r="I85" s="19" t="s">
        <v>128</v>
      </c>
      <c r="J85" s="42" t="s">
        <v>599</v>
      </c>
      <c r="K85" s="19" t="s">
        <v>161</v>
      </c>
      <c r="L85" s="54"/>
      <c r="M85" s="11"/>
      <c r="N85" s="11"/>
      <c r="O85" s="11"/>
      <c r="P85" s="11"/>
      <c r="Q85" s="11"/>
      <c r="R85" s="11"/>
      <c r="S85" s="11"/>
      <c r="T85" s="11"/>
      <c r="U85" s="11"/>
      <c r="V85" s="11"/>
      <c r="W85" s="11"/>
      <c r="X85" s="11"/>
      <c r="Y85" s="11"/>
      <c r="Z85" s="11"/>
    </row>
    <row r="86" ht="61.5" customHeight="1">
      <c r="A86" s="51" t="s">
        <v>600</v>
      </c>
      <c r="B86" s="19" t="s">
        <v>22</v>
      </c>
      <c r="C86" s="6" t="s">
        <v>13</v>
      </c>
      <c r="D86" s="6" t="s">
        <v>13</v>
      </c>
      <c r="E86" s="53">
        <v>2.0</v>
      </c>
      <c r="F86" s="23">
        <v>45740.0</v>
      </c>
      <c r="G86" s="28"/>
      <c r="H86" s="52" t="s">
        <v>601</v>
      </c>
      <c r="I86" s="19" t="s">
        <v>128</v>
      </c>
      <c r="J86" s="42" t="s">
        <v>602</v>
      </c>
      <c r="K86" s="19" t="s">
        <v>603</v>
      </c>
      <c r="L86" s="54"/>
      <c r="M86" s="11"/>
      <c r="N86" s="11"/>
      <c r="O86" s="11"/>
      <c r="P86" s="11"/>
      <c r="Q86" s="11"/>
      <c r="R86" s="11"/>
      <c r="S86" s="11"/>
      <c r="T86" s="11"/>
      <c r="U86" s="11"/>
      <c r="V86" s="11"/>
      <c r="W86" s="11"/>
      <c r="X86" s="11"/>
      <c r="Y86" s="11"/>
      <c r="Z86" s="11"/>
    </row>
    <row r="87" ht="55.5" customHeight="1">
      <c r="A87" s="51" t="s">
        <v>604</v>
      </c>
      <c r="B87" s="19" t="s">
        <v>15</v>
      </c>
      <c r="C87" s="6" t="s">
        <v>63</v>
      </c>
      <c r="D87" s="6" t="s">
        <v>63</v>
      </c>
      <c r="E87" s="53">
        <v>1.0</v>
      </c>
      <c r="F87" s="23">
        <v>45741.0</v>
      </c>
      <c r="G87" s="28" t="s">
        <v>364</v>
      </c>
      <c r="H87" s="52" t="s">
        <v>605</v>
      </c>
      <c r="I87" s="19" t="s">
        <v>106</v>
      </c>
      <c r="J87" s="42" t="s">
        <v>606</v>
      </c>
      <c r="K87" s="19" t="s">
        <v>103</v>
      </c>
      <c r="L87" s="54"/>
      <c r="M87" s="11"/>
      <c r="N87" s="11"/>
      <c r="O87" s="11"/>
      <c r="P87" s="11"/>
      <c r="Q87" s="11"/>
      <c r="R87" s="11"/>
      <c r="S87" s="11"/>
      <c r="T87" s="11"/>
      <c r="U87" s="11"/>
      <c r="V87" s="11"/>
      <c r="W87" s="11"/>
      <c r="X87" s="11"/>
      <c r="Y87" s="11"/>
      <c r="Z87" s="11"/>
    </row>
    <row r="88" ht="55.5" customHeight="1">
      <c r="A88" s="51" t="s">
        <v>607</v>
      </c>
      <c r="B88" s="19" t="s">
        <v>15</v>
      </c>
      <c r="C88" s="6" t="s">
        <v>63</v>
      </c>
      <c r="D88" s="6" t="s">
        <v>63</v>
      </c>
      <c r="E88" s="53">
        <v>1.0</v>
      </c>
      <c r="F88" s="23">
        <v>45743.0</v>
      </c>
      <c r="G88" s="28" t="s">
        <v>364</v>
      </c>
      <c r="H88" s="52" t="s">
        <v>605</v>
      </c>
      <c r="I88" s="19" t="s">
        <v>106</v>
      </c>
      <c r="J88" s="42" t="s">
        <v>608</v>
      </c>
      <c r="K88" s="19" t="s">
        <v>103</v>
      </c>
      <c r="L88" s="54"/>
      <c r="M88" s="11"/>
      <c r="N88" s="11"/>
      <c r="O88" s="11"/>
      <c r="P88" s="11"/>
      <c r="Q88" s="11"/>
      <c r="R88" s="11"/>
      <c r="S88" s="11"/>
      <c r="T88" s="11"/>
      <c r="U88" s="11"/>
      <c r="V88" s="11"/>
      <c r="W88" s="11"/>
      <c r="X88" s="11"/>
      <c r="Y88" s="11"/>
      <c r="Z88" s="11"/>
    </row>
    <row r="89" ht="61.5" customHeight="1">
      <c r="A89" s="51" t="s">
        <v>609</v>
      </c>
      <c r="B89" s="19" t="s">
        <v>15</v>
      </c>
      <c r="C89" s="6" t="s">
        <v>14</v>
      </c>
      <c r="D89" s="6" t="s">
        <v>14</v>
      </c>
      <c r="E89" s="53">
        <v>1.0</v>
      </c>
      <c r="F89" s="23">
        <v>45745.0</v>
      </c>
      <c r="G89" s="28" t="s">
        <v>367</v>
      </c>
      <c r="H89" s="52" t="s">
        <v>610</v>
      </c>
      <c r="I89" s="19" t="s">
        <v>611</v>
      </c>
      <c r="J89" s="42" t="s">
        <v>612</v>
      </c>
      <c r="K89" s="19" t="s">
        <v>161</v>
      </c>
      <c r="L89" s="54"/>
      <c r="M89" s="11"/>
      <c r="N89" s="11"/>
      <c r="O89" s="11"/>
      <c r="P89" s="11"/>
      <c r="Q89" s="11"/>
      <c r="R89" s="11"/>
      <c r="S89" s="11"/>
      <c r="T89" s="11"/>
      <c r="U89" s="11"/>
      <c r="V89" s="11"/>
      <c r="W89" s="11"/>
      <c r="X89" s="11"/>
      <c r="Y89" s="11"/>
      <c r="Z89" s="11"/>
    </row>
    <row r="90" ht="63.75" customHeight="1">
      <c r="A90" s="51" t="s">
        <v>613</v>
      </c>
      <c r="B90" s="19" t="s">
        <v>22</v>
      </c>
      <c r="C90" s="6" t="s">
        <v>40</v>
      </c>
      <c r="D90" s="6" t="s">
        <v>40</v>
      </c>
      <c r="E90" s="53">
        <v>2.0</v>
      </c>
      <c r="F90" s="23">
        <v>45750.0</v>
      </c>
      <c r="G90" s="28" t="s">
        <v>447</v>
      </c>
      <c r="H90" s="52" t="s">
        <v>614</v>
      </c>
      <c r="I90" s="19" t="s">
        <v>106</v>
      </c>
      <c r="J90" s="42" t="s">
        <v>615</v>
      </c>
      <c r="K90" s="19" t="s">
        <v>161</v>
      </c>
      <c r="L90" s="54"/>
      <c r="M90" s="11"/>
      <c r="N90" s="11"/>
      <c r="O90" s="11"/>
      <c r="P90" s="11"/>
      <c r="Q90" s="11"/>
      <c r="R90" s="11"/>
      <c r="S90" s="11"/>
      <c r="T90" s="11"/>
      <c r="U90" s="11"/>
      <c r="V90" s="11"/>
      <c r="W90" s="11"/>
      <c r="X90" s="11"/>
      <c r="Y90" s="11"/>
      <c r="Z90" s="11"/>
    </row>
    <row r="91" ht="64.5" customHeight="1">
      <c r="A91" s="51" t="s">
        <v>616</v>
      </c>
      <c r="B91" s="19" t="s">
        <v>22</v>
      </c>
      <c r="C91" s="6" t="s">
        <v>13</v>
      </c>
      <c r="D91" s="6" t="s">
        <v>13</v>
      </c>
      <c r="E91" s="53">
        <v>2.0</v>
      </c>
      <c r="F91" s="23">
        <v>45751.0</v>
      </c>
      <c r="G91" s="28" t="s">
        <v>367</v>
      </c>
      <c r="H91" s="52" t="s">
        <v>617</v>
      </c>
      <c r="I91" s="19" t="s">
        <v>618</v>
      </c>
      <c r="J91" s="42" t="s">
        <v>619</v>
      </c>
      <c r="K91" s="19" t="s">
        <v>161</v>
      </c>
      <c r="L91" s="54"/>
      <c r="M91" s="11"/>
      <c r="N91" s="11"/>
      <c r="O91" s="11"/>
      <c r="P91" s="11"/>
      <c r="Q91" s="11"/>
      <c r="R91" s="11"/>
      <c r="S91" s="11"/>
      <c r="T91" s="11"/>
      <c r="U91" s="11"/>
      <c r="V91" s="11"/>
      <c r="W91" s="11"/>
      <c r="X91" s="11"/>
      <c r="Y91" s="11"/>
      <c r="Z91" s="11"/>
    </row>
    <row r="92" ht="63.0" customHeight="1">
      <c r="A92" s="51" t="s">
        <v>620</v>
      </c>
      <c r="B92" s="19" t="s">
        <v>22</v>
      </c>
      <c r="C92" s="6" t="s">
        <v>13</v>
      </c>
      <c r="D92" s="6" t="s">
        <v>13</v>
      </c>
      <c r="E92" s="53">
        <v>2.0</v>
      </c>
      <c r="F92" s="23">
        <v>45752.0</v>
      </c>
      <c r="G92" s="28" t="s">
        <v>364</v>
      </c>
      <c r="H92" s="52" t="s">
        <v>617</v>
      </c>
      <c r="I92" s="19" t="s">
        <v>618</v>
      </c>
      <c r="J92" s="42" t="s">
        <v>621</v>
      </c>
      <c r="K92" s="19" t="s">
        <v>161</v>
      </c>
      <c r="L92" s="54"/>
      <c r="M92" s="11"/>
      <c r="N92" s="11"/>
      <c r="O92" s="11"/>
      <c r="P92" s="11"/>
      <c r="Q92" s="11"/>
      <c r="R92" s="11"/>
      <c r="S92" s="11"/>
      <c r="T92" s="11"/>
      <c r="U92" s="11"/>
      <c r="V92" s="11"/>
      <c r="W92" s="11"/>
      <c r="X92" s="11"/>
      <c r="Y92" s="11"/>
      <c r="Z92" s="11"/>
    </row>
    <row r="93" ht="54.75" customHeight="1">
      <c r="A93" s="51" t="s">
        <v>622</v>
      </c>
      <c r="B93" s="19" t="s">
        <v>22</v>
      </c>
      <c r="C93" s="6" t="s">
        <v>122</v>
      </c>
      <c r="D93" s="6" t="s">
        <v>122</v>
      </c>
      <c r="E93" s="53">
        <v>5.0</v>
      </c>
      <c r="F93" s="23">
        <v>45771.0</v>
      </c>
      <c r="G93" s="28" t="s">
        <v>364</v>
      </c>
      <c r="H93" s="52" t="s">
        <v>432</v>
      </c>
      <c r="I93" s="19" t="s">
        <v>452</v>
      </c>
      <c r="J93" s="42" t="s">
        <v>623</v>
      </c>
      <c r="K93" s="19" t="s">
        <v>161</v>
      </c>
      <c r="L93" s="54"/>
      <c r="M93" s="11"/>
      <c r="N93" s="11"/>
      <c r="O93" s="11"/>
      <c r="P93" s="11"/>
      <c r="Q93" s="11"/>
      <c r="R93" s="11"/>
      <c r="S93" s="11"/>
      <c r="T93" s="11"/>
      <c r="U93" s="11"/>
      <c r="V93" s="11"/>
      <c r="W93" s="11"/>
      <c r="X93" s="11"/>
      <c r="Y93" s="11"/>
      <c r="Z93" s="11"/>
    </row>
    <row r="94" ht="54.75" customHeight="1">
      <c r="A94" s="51" t="s">
        <v>624</v>
      </c>
      <c r="B94" s="19" t="s">
        <v>22</v>
      </c>
      <c r="C94" s="6" t="s">
        <v>14</v>
      </c>
      <c r="D94" s="6" t="s">
        <v>14</v>
      </c>
      <c r="E94" s="53">
        <v>4.0</v>
      </c>
      <c r="F94" s="23">
        <v>45778.0</v>
      </c>
      <c r="G94" s="28" t="s">
        <v>364</v>
      </c>
      <c r="H94" s="51" t="s">
        <v>625</v>
      </c>
      <c r="I94" s="19" t="s">
        <v>452</v>
      </c>
      <c r="J94" s="55" t="s">
        <v>626</v>
      </c>
      <c r="K94" s="19" t="s">
        <v>161</v>
      </c>
      <c r="L94" s="54"/>
      <c r="M94" s="11"/>
      <c r="N94" s="11"/>
      <c r="O94" s="11"/>
      <c r="P94" s="11"/>
      <c r="Q94" s="11"/>
      <c r="R94" s="11"/>
      <c r="S94" s="11"/>
      <c r="T94" s="11"/>
      <c r="U94" s="11"/>
      <c r="V94" s="11"/>
      <c r="W94" s="11"/>
      <c r="X94" s="11"/>
      <c r="Y94" s="11"/>
      <c r="Z94" s="11"/>
    </row>
    <row r="95" ht="65.25" customHeight="1">
      <c r="A95" s="51" t="s">
        <v>627</v>
      </c>
      <c r="B95" s="19" t="s">
        <v>15</v>
      </c>
      <c r="C95" s="6" t="s">
        <v>63</v>
      </c>
      <c r="D95" s="6" t="s">
        <v>63</v>
      </c>
      <c r="E95" s="53">
        <v>1.0</v>
      </c>
      <c r="F95" s="23">
        <v>45802.0</v>
      </c>
      <c r="G95" s="28" t="s">
        <v>367</v>
      </c>
      <c r="H95" s="56" t="s">
        <v>628</v>
      </c>
      <c r="I95" s="19" t="s">
        <v>106</v>
      </c>
      <c r="J95" s="55" t="s">
        <v>629</v>
      </c>
      <c r="K95" s="19" t="s">
        <v>587</v>
      </c>
      <c r="L95" s="54"/>
      <c r="M95" s="11"/>
      <c r="N95" s="11"/>
      <c r="O95" s="11"/>
      <c r="P95" s="11"/>
      <c r="Q95" s="11"/>
      <c r="R95" s="11"/>
      <c r="S95" s="11"/>
      <c r="T95" s="11"/>
      <c r="U95" s="11"/>
      <c r="V95" s="11"/>
      <c r="W95" s="11"/>
      <c r="X95" s="11"/>
      <c r="Y95" s="11"/>
      <c r="Z95" s="11"/>
    </row>
    <row r="96" ht="77.25" customHeight="1">
      <c r="A96" s="51" t="s">
        <v>630</v>
      </c>
      <c r="B96" s="19" t="s">
        <v>22</v>
      </c>
      <c r="C96" s="6" t="s">
        <v>13</v>
      </c>
      <c r="D96" s="6" t="s">
        <v>13</v>
      </c>
      <c r="E96" s="53">
        <v>2.0</v>
      </c>
      <c r="F96" s="23">
        <v>45864.0</v>
      </c>
      <c r="G96" s="28" t="s">
        <v>364</v>
      </c>
      <c r="H96" s="51" t="s">
        <v>631</v>
      </c>
      <c r="I96" s="19" t="s">
        <v>188</v>
      </c>
      <c r="J96" s="55" t="s">
        <v>632</v>
      </c>
      <c r="K96" s="19" t="s">
        <v>161</v>
      </c>
      <c r="L96" s="54"/>
      <c r="M96" s="11"/>
      <c r="N96" s="11"/>
      <c r="O96" s="11"/>
      <c r="P96" s="11"/>
      <c r="Q96" s="11"/>
      <c r="R96" s="11"/>
      <c r="S96" s="11"/>
      <c r="T96" s="11"/>
      <c r="U96" s="11"/>
      <c r="V96" s="11"/>
      <c r="W96" s="11"/>
      <c r="X96" s="11"/>
      <c r="Y96" s="11"/>
      <c r="Z96" s="11"/>
    </row>
    <row r="97" ht="74.25" customHeight="1">
      <c r="A97" s="51" t="s">
        <v>633</v>
      </c>
      <c r="B97" s="19" t="s">
        <v>22</v>
      </c>
      <c r="C97" s="6" t="s">
        <v>13</v>
      </c>
      <c r="D97" s="6" t="s">
        <v>40</v>
      </c>
      <c r="E97" s="53">
        <v>4.0</v>
      </c>
      <c r="F97" s="23">
        <v>45864.0</v>
      </c>
      <c r="G97" s="28" t="s">
        <v>360</v>
      </c>
      <c r="H97" s="51" t="s">
        <v>634</v>
      </c>
      <c r="I97" s="19" t="s">
        <v>188</v>
      </c>
      <c r="J97" s="55" t="s">
        <v>635</v>
      </c>
      <c r="K97" s="19" t="s">
        <v>161</v>
      </c>
      <c r="L97" s="54"/>
      <c r="M97" s="11"/>
      <c r="N97" s="11"/>
      <c r="O97" s="11"/>
      <c r="P97" s="11"/>
      <c r="Q97" s="11"/>
      <c r="R97" s="11"/>
      <c r="S97" s="11"/>
      <c r="T97" s="11"/>
      <c r="U97" s="11"/>
      <c r="V97" s="11"/>
      <c r="W97" s="11"/>
      <c r="X97" s="11"/>
      <c r="Y97" s="11"/>
      <c r="Z97" s="11"/>
    </row>
    <row r="98" ht="80.25" customHeight="1">
      <c r="A98" s="51" t="s">
        <v>636</v>
      </c>
      <c r="B98" s="19" t="s">
        <v>22</v>
      </c>
      <c r="C98" s="6" t="s">
        <v>14</v>
      </c>
      <c r="D98" s="6" t="s">
        <v>14</v>
      </c>
      <c r="E98" s="53">
        <v>4.0</v>
      </c>
      <c r="F98" s="23">
        <v>45886.0</v>
      </c>
      <c r="G98" s="28" t="s">
        <v>367</v>
      </c>
      <c r="H98" s="51" t="s">
        <v>637</v>
      </c>
      <c r="I98" s="19" t="s">
        <v>638</v>
      </c>
      <c r="J98" s="55" t="s">
        <v>639</v>
      </c>
      <c r="K98" s="19" t="s">
        <v>161</v>
      </c>
      <c r="L98" s="54"/>
      <c r="M98" s="11"/>
      <c r="N98" s="11"/>
      <c r="O98" s="11"/>
      <c r="P98" s="11"/>
      <c r="Q98" s="11"/>
      <c r="R98" s="11"/>
      <c r="S98" s="11"/>
      <c r="T98" s="11"/>
      <c r="U98" s="11"/>
      <c r="V98" s="11"/>
      <c r="W98" s="11"/>
      <c r="X98" s="11"/>
      <c r="Y98" s="11"/>
      <c r="Z98" s="11"/>
    </row>
    <row r="99" ht="69.0" customHeight="1">
      <c r="A99" s="51" t="s">
        <v>640</v>
      </c>
      <c r="B99" s="19" t="s">
        <v>22</v>
      </c>
      <c r="C99" s="6" t="s">
        <v>14</v>
      </c>
      <c r="D99" s="6" t="s">
        <v>14</v>
      </c>
      <c r="E99" s="53">
        <v>4.0</v>
      </c>
      <c r="F99" s="23">
        <v>45892.0</v>
      </c>
      <c r="G99" s="28" t="s">
        <v>367</v>
      </c>
      <c r="H99" s="51" t="s">
        <v>641</v>
      </c>
      <c r="I99" s="19" t="s">
        <v>188</v>
      </c>
      <c r="J99" s="55" t="s">
        <v>642</v>
      </c>
      <c r="K99" s="19" t="s">
        <v>161</v>
      </c>
      <c r="L99" s="54"/>
      <c r="M99" s="11"/>
      <c r="N99" s="11"/>
      <c r="O99" s="11"/>
      <c r="P99" s="11"/>
      <c r="Q99" s="11"/>
      <c r="R99" s="11"/>
      <c r="S99" s="11"/>
      <c r="T99" s="11"/>
      <c r="U99" s="11"/>
      <c r="V99" s="11"/>
      <c r="W99" s="11"/>
      <c r="X99" s="11"/>
      <c r="Y99" s="11"/>
      <c r="Z99" s="11"/>
    </row>
    <row r="100" ht="68.25" customHeight="1">
      <c r="A100" s="51" t="s">
        <v>643</v>
      </c>
      <c r="B100" s="19" t="s">
        <v>22</v>
      </c>
      <c r="C100" s="6" t="s">
        <v>13</v>
      </c>
      <c r="D100" s="6" t="s">
        <v>13</v>
      </c>
      <c r="E100" s="53">
        <v>3.0</v>
      </c>
      <c r="F100" s="23">
        <v>45913.0</v>
      </c>
      <c r="G100" s="28" t="s">
        <v>447</v>
      </c>
      <c r="H100" s="51" t="s">
        <v>644</v>
      </c>
      <c r="I100" s="19" t="s">
        <v>106</v>
      </c>
      <c r="J100" s="55" t="s">
        <v>645</v>
      </c>
      <c r="K100" s="19" t="s">
        <v>161</v>
      </c>
      <c r="L100" s="54"/>
      <c r="M100" s="11"/>
      <c r="N100" s="11"/>
      <c r="O100" s="11"/>
      <c r="P100" s="11"/>
      <c r="Q100" s="11"/>
      <c r="R100" s="11"/>
      <c r="S100" s="11"/>
      <c r="T100" s="11"/>
      <c r="U100" s="11"/>
      <c r="V100" s="11"/>
      <c r="W100" s="11"/>
      <c r="X100" s="11"/>
      <c r="Y100" s="11"/>
      <c r="Z100" s="11"/>
    </row>
    <row r="101" ht="66.0" customHeight="1">
      <c r="A101" s="51" t="s">
        <v>646</v>
      </c>
      <c r="B101" s="19" t="s">
        <v>22</v>
      </c>
      <c r="C101" s="6" t="s">
        <v>14</v>
      </c>
      <c r="D101" s="6" t="s">
        <v>14</v>
      </c>
      <c r="E101" s="53">
        <v>2.0</v>
      </c>
      <c r="F101" s="23">
        <v>45921.0</v>
      </c>
      <c r="G101" s="28" t="s">
        <v>364</v>
      </c>
      <c r="H101" s="51" t="s">
        <v>647</v>
      </c>
      <c r="I101" s="19" t="s">
        <v>255</v>
      </c>
      <c r="J101" s="55"/>
      <c r="K101" s="19" t="s">
        <v>161</v>
      </c>
      <c r="L101" s="54"/>
      <c r="M101" s="11"/>
      <c r="N101" s="11"/>
      <c r="O101" s="11"/>
      <c r="P101" s="11"/>
      <c r="Q101" s="11"/>
      <c r="R101" s="11"/>
      <c r="S101" s="11"/>
      <c r="T101" s="11"/>
      <c r="U101" s="11"/>
      <c r="V101" s="11"/>
      <c r="W101" s="11"/>
      <c r="X101" s="11"/>
      <c r="Y101" s="11"/>
      <c r="Z101" s="11"/>
    </row>
    <row r="102" ht="64.5" customHeight="1">
      <c r="A102" s="51" t="s">
        <v>648</v>
      </c>
      <c r="B102" s="19" t="s">
        <v>22</v>
      </c>
      <c r="C102" s="6" t="s">
        <v>14</v>
      </c>
      <c r="D102" s="6" t="s">
        <v>14</v>
      </c>
      <c r="E102" s="53">
        <v>2.0</v>
      </c>
      <c r="F102" s="23">
        <v>45921.0</v>
      </c>
      <c r="G102" s="28" t="s">
        <v>367</v>
      </c>
      <c r="H102" s="51" t="s">
        <v>649</v>
      </c>
      <c r="I102" s="19" t="s">
        <v>106</v>
      </c>
      <c r="J102" s="55" t="s">
        <v>650</v>
      </c>
      <c r="K102" s="19" t="s">
        <v>161</v>
      </c>
      <c r="L102" s="54"/>
      <c r="M102" s="11"/>
      <c r="N102" s="11"/>
      <c r="O102" s="11"/>
      <c r="P102" s="11"/>
      <c r="Q102" s="11"/>
      <c r="R102" s="11"/>
      <c r="S102" s="11"/>
      <c r="T102" s="11"/>
      <c r="U102" s="11"/>
      <c r="V102" s="11"/>
      <c r="W102" s="11"/>
      <c r="X102" s="11"/>
      <c r="Y102" s="11"/>
      <c r="Z102" s="11"/>
    </row>
    <row r="103" ht="63.0" customHeight="1">
      <c r="A103" s="51" t="s">
        <v>651</v>
      </c>
      <c r="B103" s="19" t="s">
        <v>22</v>
      </c>
      <c r="C103" s="6" t="s">
        <v>267</v>
      </c>
      <c r="D103" s="6" t="s">
        <v>122</v>
      </c>
      <c r="E103" s="53">
        <v>8.0</v>
      </c>
      <c r="F103" s="23">
        <v>45950.0</v>
      </c>
      <c r="G103" s="28" t="s">
        <v>447</v>
      </c>
      <c r="H103" s="51" t="s">
        <v>652</v>
      </c>
      <c r="I103" s="19" t="s">
        <v>188</v>
      </c>
      <c r="J103" s="55" t="s">
        <v>653</v>
      </c>
      <c r="K103" s="19" t="s">
        <v>161</v>
      </c>
      <c r="L103" s="54"/>
      <c r="M103" s="11"/>
      <c r="N103" s="11"/>
      <c r="O103" s="11"/>
      <c r="P103" s="11"/>
      <c r="Q103" s="11"/>
      <c r="R103" s="11"/>
      <c r="S103" s="11"/>
      <c r="T103" s="11"/>
      <c r="U103" s="11"/>
      <c r="V103" s="11"/>
      <c r="W103" s="11"/>
      <c r="X103" s="11"/>
      <c r="Y103" s="11"/>
      <c r="Z103" s="11"/>
    </row>
    <row r="104" ht="67.5" customHeight="1">
      <c r="A104" s="57" t="s">
        <v>654</v>
      </c>
      <c r="B104" s="19" t="s">
        <v>22</v>
      </c>
      <c r="C104" s="6" t="s">
        <v>13</v>
      </c>
      <c r="D104" s="6" t="s">
        <v>13</v>
      </c>
      <c r="E104" s="53">
        <v>2.0</v>
      </c>
      <c r="F104" s="23">
        <v>45950.0</v>
      </c>
      <c r="G104" s="28" t="s">
        <v>447</v>
      </c>
      <c r="H104" s="51" t="s">
        <v>655</v>
      </c>
      <c r="I104" s="19" t="s">
        <v>188</v>
      </c>
      <c r="J104" s="58" t="s">
        <v>656</v>
      </c>
      <c r="K104" s="19" t="s">
        <v>161</v>
      </c>
      <c r="L104" s="54"/>
      <c r="M104" s="11"/>
      <c r="N104" s="11"/>
      <c r="O104" s="11"/>
      <c r="P104" s="11"/>
      <c r="Q104" s="11"/>
      <c r="R104" s="11"/>
      <c r="S104" s="11"/>
      <c r="T104" s="11"/>
      <c r="U104" s="11"/>
      <c r="V104" s="11"/>
      <c r="W104" s="11"/>
      <c r="X104" s="11"/>
      <c r="Y104" s="11"/>
      <c r="Z104" s="11"/>
    </row>
    <row r="105" ht="60.0" customHeight="1">
      <c r="A105" s="51" t="s">
        <v>657</v>
      </c>
      <c r="B105" s="19" t="s">
        <v>22</v>
      </c>
      <c r="C105" s="6" t="s">
        <v>13</v>
      </c>
      <c r="D105" s="6" t="s">
        <v>13</v>
      </c>
      <c r="E105" s="53">
        <v>4.0</v>
      </c>
      <c r="F105" s="23">
        <v>45951.0</v>
      </c>
      <c r="G105" s="28" t="s">
        <v>447</v>
      </c>
      <c r="H105" s="51" t="s">
        <v>658</v>
      </c>
      <c r="I105" s="19" t="s">
        <v>164</v>
      </c>
      <c r="J105" s="55" t="s">
        <v>659</v>
      </c>
      <c r="K105" s="19" t="s">
        <v>161</v>
      </c>
      <c r="L105" s="54"/>
      <c r="M105" s="11"/>
      <c r="N105" s="11"/>
      <c r="O105" s="11"/>
      <c r="P105" s="11"/>
      <c r="Q105" s="11"/>
      <c r="R105" s="11"/>
      <c r="S105" s="11"/>
      <c r="T105" s="11"/>
      <c r="U105" s="11"/>
      <c r="V105" s="11"/>
      <c r="W105" s="11"/>
      <c r="X105" s="11"/>
      <c r="Y105" s="11"/>
      <c r="Z105" s="11"/>
    </row>
    <row r="106" ht="69.0" customHeight="1">
      <c r="A106" s="57" t="s">
        <v>660</v>
      </c>
      <c r="B106" s="19" t="s">
        <v>22</v>
      </c>
      <c r="C106" s="6" t="s">
        <v>40</v>
      </c>
      <c r="D106" s="6" t="s">
        <v>40</v>
      </c>
      <c r="E106" s="53">
        <v>2.0</v>
      </c>
      <c r="F106" s="23">
        <v>45953.0</v>
      </c>
      <c r="G106" s="28" t="s">
        <v>447</v>
      </c>
      <c r="H106" s="51" t="s">
        <v>661</v>
      </c>
      <c r="I106" s="19" t="s">
        <v>58</v>
      </c>
      <c r="J106" s="58" t="s">
        <v>662</v>
      </c>
      <c r="K106" s="19" t="s">
        <v>161</v>
      </c>
      <c r="L106" s="54"/>
      <c r="M106" s="11"/>
      <c r="N106" s="11"/>
      <c r="O106" s="11"/>
      <c r="P106" s="11"/>
      <c r="Q106" s="11"/>
      <c r="R106" s="11"/>
      <c r="S106" s="11"/>
      <c r="T106" s="11"/>
      <c r="U106" s="11"/>
      <c r="V106" s="11"/>
      <c r="W106" s="11"/>
      <c r="X106" s="11"/>
      <c r="Y106" s="11"/>
      <c r="Z106" s="11"/>
    </row>
    <row r="107" ht="22.5" customHeight="1">
      <c r="A107" s="57" t="s">
        <v>663</v>
      </c>
      <c r="B107" s="19" t="s">
        <v>15</v>
      </c>
      <c r="C107" s="6" t="s">
        <v>13</v>
      </c>
      <c r="D107" s="6" t="s">
        <v>13</v>
      </c>
      <c r="E107" s="53">
        <v>1.0</v>
      </c>
      <c r="F107" s="23">
        <v>45955.0</v>
      </c>
      <c r="G107" s="28" t="s">
        <v>447</v>
      </c>
      <c r="H107" s="57" t="s">
        <v>664</v>
      </c>
      <c r="I107" s="19" t="s">
        <v>58</v>
      </c>
      <c r="J107" s="55" t="s">
        <v>665</v>
      </c>
      <c r="K107" s="19" t="s">
        <v>161</v>
      </c>
      <c r="L107" s="54"/>
      <c r="M107" s="11"/>
      <c r="N107" s="11"/>
      <c r="O107" s="11"/>
      <c r="P107" s="11"/>
      <c r="Q107" s="11"/>
      <c r="R107" s="11"/>
      <c r="S107" s="11"/>
      <c r="T107" s="11"/>
      <c r="U107" s="11"/>
      <c r="V107" s="11"/>
      <c r="W107" s="11"/>
      <c r="X107" s="11"/>
      <c r="Y107" s="11"/>
      <c r="Z107" s="11"/>
    </row>
    <row r="108" ht="53.25" customHeight="1">
      <c r="A108" s="57" t="s">
        <v>666</v>
      </c>
      <c r="B108" s="19" t="s">
        <v>15</v>
      </c>
      <c r="C108" s="6" t="s">
        <v>13</v>
      </c>
      <c r="D108" s="6" t="s">
        <v>13</v>
      </c>
      <c r="E108" s="53">
        <v>1.0</v>
      </c>
      <c r="F108" s="23">
        <v>45955.0</v>
      </c>
      <c r="G108" s="28" t="s">
        <v>447</v>
      </c>
      <c r="H108" s="57" t="s">
        <v>667</v>
      </c>
      <c r="I108" s="19" t="s">
        <v>58</v>
      </c>
      <c r="J108" s="55" t="s">
        <v>668</v>
      </c>
      <c r="K108" s="19" t="s">
        <v>161</v>
      </c>
      <c r="L108" s="54"/>
      <c r="M108" s="11"/>
      <c r="N108" s="11"/>
      <c r="O108" s="11"/>
      <c r="P108" s="11"/>
      <c r="Q108" s="11"/>
      <c r="R108" s="11"/>
      <c r="S108" s="11"/>
      <c r="T108" s="11"/>
      <c r="U108" s="11"/>
      <c r="V108" s="11"/>
      <c r="W108" s="11"/>
      <c r="X108" s="11"/>
      <c r="Y108" s="11"/>
      <c r="Z108" s="11"/>
    </row>
    <row r="109" ht="22.5" customHeight="1">
      <c r="A109" s="57" t="s">
        <v>669</v>
      </c>
      <c r="B109" s="19" t="s">
        <v>22</v>
      </c>
      <c r="C109" s="6" t="s">
        <v>40</v>
      </c>
      <c r="D109" s="6" t="s">
        <v>40</v>
      </c>
      <c r="E109" s="53">
        <v>2.0</v>
      </c>
      <c r="F109" s="23">
        <v>45977.0</v>
      </c>
      <c r="G109" s="28" t="s">
        <v>447</v>
      </c>
      <c r="H109" s="57" t="s">
        <v>670</v>
      </c>
      <c r="I109" s="19" t="s">
        <v>58</v>
      </c>
      <c r="J109" s="58" t="s">
        <v>671</v>
      </c>
      <c r="K109" s="19" t="s">
        <v>672</v>
      </c>
      <c r="L109" s="54"/>
      <c r="M109" s="11"/>
      <c r="N109" s="11"/>
      <c r="O109" s="11"/>
      <c r="P109" s="11"/>
      <c r="Q109" s="11"/>
      <c r="R109" s="11"/>
      <c r="S109" s="11"/>
      <c r="T109" s="11"/>
      <c r="U109" s="11"/>
      <c r="V109" s="11"/>
      <c r="W109" s="11"/>
      <c r="X109" s="11"/>
      <c r="Y109" s="11"/>
      <c r="Z109" s="11"/>
    </row>
    <row r="110" ht="22.5" customHeight="1">
      <c r="A110" s="57" t="s">
        <v>673</v>
      </c>
      <c r="B110" s="19" t="s">
        <v>674</v>
      </c>
      <c r="C110" s="6" t="s">
        <v>14</v>
      </c>
      <c r="D110" s="6" t="s">
        <v>14</v>
      </c>
      <c r="E110" s="53">
        <v>1.0</v>
      </c>
      <c r="F110" s="23">
        <v>45977.0</v>
      </c>
      <c r="G110" s="28" t="s">
        <v>447</v>
      </c>
      <c r="H110" s="57" t="s">
        <v>675</v>
      </c>
      <c r="I110" s="19" t="s">
        <v>58</v>
      </c>
      <c r="J110" s="58" t="s">
        <v>676</v>
      </c>
      <c r="K110" s="19" t="s">
        <v>161</v>
      </c>
      <c r="L110" s="54"/>
      <c r="M110" s="11"/>
      <c r="N110" s="11"/>
      <c r="O110" s="11"/>
      <c r="P110" s="11"/>
      <c r="Q110" s="11"/>
      <c r="R110" s="11"/>
      <c r="S110" s="11"/>
      <c r="T110" s="11"/>
      <c r="U110" s="11"/>
      <c r="V110" s="11"/>
      <c r="W110" s="11"/>
      <c r="X110" s="11"/>
      <c r="Y110" s="11"/>
      <c r="Z110" s="11"/>
    </row>
    <row r="111" ht="22.5" customHeight="1">
      <c r="A111" s="57" t="s">
        <v>677</v>
      </c>
      <c r="B111" s="19" t="s">
        <v>678</v>
      </c>
      <c r="C111" s="6" t="s">
        <v>14</v>
      </c>
      <c r="D111" s="6" t="s">
        <v>14</v>
      </c>
      <c r="E111" s="53">
        <v>2.0</v>
      </c>
      <c r="F111" s="23">
        <v>45982.0</v>
      </c>
      <c r="G111" s="28" t="s">
        <v>364</v>
      </c>
      <c r="H111" s="57" t="s">
        <v>679</v>
      </c>
      <c r="I111" s="19" t="s">
        <v>58</v>
      </c>
      <c r="J111" s="59"/>
      <c r="K111" s="19" t="s">
        <v>161</v>
      </c>
      <c r="L111" s="54"/>
      <c r="M111" s="11"/>
      <c r="N111" s="11"/>
      <c r="O111" s="11"/>
      <c r="P111" s="11"/>
      <c r="Q111" s="11"/>
      <c r="R111" s="11"/>
      <c r="S111" s="11"/>
      <c r="T111" s="11"/>
      <c r="U111" s="11"/>
      <c r="V111" s="11"/>
      <c r="W111" s="11"/>
      <c r="X111" s="11"/>
      <c r="Y111" s="11"/>
      <c r="Z111" s="11"/>
    </row>
    <row r="112" ht="22.5" customHeight="1">
      <c r="A112" s="57" t="s">
        <v>680</v>
      </c>
      <c r="B112" s="19" t="s">
        <v>678</v>
      </c>
      <c r="C112" s="6" t="s">
        <v>13</v>
      </c>
      <c r="D112" s="6" t="s">
        <v>13</v>
      </c>
      <c r="E112" s="53">
        <v>2.0</v>
      </c>
      <c r="F112" s="23">
        <v>45985.0</v>
      </c>
      <c r="G112" s="28" t="s">
        <v>367</v>
      </c>
      <c r="H112" s="57" t="s">
        <v>681</v>
      </c>
      <c r="I112" s="19" t="s">
        <v>58</v>
      </c>
      <c r="J112" s="60" t="s">
        <v>682</v>
      </c>
      <c r="K112" s="19" t="s">
        <v>161</v>
      </c>
      <c r="L112" s="54"/>
      <c r="M112" s="11"/>
      <c r="N112" s="11"/>
      <c r="O112" s="11"/>
      <c r="P112" s="11"/>
      <c r="Q112" s="11"/>
      <c r="R112" s="11"/>
      <c r="S112" s="11"/>
      <c r="T112" s="11"/>
      <c r="U112" s="11"/>
      <c r="V112" s="11"/>
      <c r="W112" s="11"/>
      <c r="X112" s="11"/>
      <c r="Y112" s="11"/>
      <c r="Z112" s="11"/>
    </row>
    <row r="113" ht="22.5" customHeight="1">
      <c r="A113" s="57" t="s">
        <v>683</v>
      </c>
      <c r="B113" s="19" t="s">
        <v>678</v>
      </c>
      <c r="C113" s="6" t="s">
        <v>13</v>
      </c>
      <c r="D113" s="6" t="s">
        <v>13</v>
      </c>
      <c r="E113" s="53">
        <v>2.0</v>
      </c>
      <c r="F113" s="23">
        <v>45985.0</v>
      </c>
      <c r="G113" s="28" t="s">
        <v>360</v>
      </c>
      <c r="H113" s="57" t="s">
        <v>684</v>
      </c>
      <c r="I113" s="19" t="s">
        <v>58</v>
      </c>
      <c r="J113" s="59" t="s">
        <v>599</v>
      </c>
      <c r="K113" s="19" t="s">
        <v>161</v>
      </c>
      <c r="L113" s="54"/>
      <c r="M113" s="11"/>
      <c r="N113" s="11"/>
      <c r="O113" s="11"/>
      <c r="P113" s="11"/>
      <c r="Q113" s="11"/>
      <c r="R113" s="11"/>
      <c r="S113" s="11"/>
      <c r="T113" s="11"/>
      <c r="U113" s="11"/>
      <c r="V113" s="11"/>
      <c r="W113" s="11"/>
      <c r="X113" s="11"/>
      <c r="Y113" s="11"/>
      <c r="Z113" s="11"/>
    </row>
    <row r="114" ht="22.5" customHeight="1">
      <c r="A114" s="57" t="s">
        <v>685</v>
      </c>
      <c r="B114" s="19" t="s">
        <v>678</v>
      </c>
      <c r="C114" s="6" t="s">
        <v>13</v>
      </c>
      <c r="D114" s="6" t="s">
        <v>13</v>
      </c>
      <c r="E114" s="53">
        <v>2.0</v>
      </c>
      <c r="F114" s="23">
        <v>45986.0</v>
      </c>
      <c r="G114" s="28" t="s">
        <v>360</v>
      </c>
      <c r="H114" s="57" t="s">
        <v>686</v>
      </c>
      <c r="I114" s="19" t="s">
        <v>58</v>
      </c>
      <c r="J114" s="55" t="s">
        <v>687</v>
      </c>
      <c r="K114" s="19" t="s">
        <v>161</v>
      </c>
      <c r="L114" s="54"/>
      <c r="M114" s="11"/>
      <c r="N114" s="11"/>
      <c r="O114" s="11"/>
      <c r="P114" s="11"/>
      <c r="Q114" s="11"/>
      <c r="R114" s="11"/>
      <c r="S114" s="11"/>
      <c r="T114" s="11"/>
      <c r="U114" s="11"/>
      <c r="V114" s="11"/>
      <c r="W114" s="11"/>
      <c r="X114" s="11"/>
      <c r="Y114" s="11"/>
      <c r="Z114" s="11"/>
    </row>
    <row r="115" ht="116.25" customHeight="1">
      <c r="A115" s="57" t="s">
        <v>688</v>
      </c>
      <c r="B115" s="19" t="s">
        <v>678</v>
      </c>
      <c r="C115" s="6" t="s">
        <v>286</v>
      </c>
      <c r="D115" s="6" t="s">
        <v>286</v>
      </c>
      <c r="E115" s="53">
        <v>16.0</v>
      </c>
      <c r="F115" s="23">
        <v>45993.0</v>
      </c>
      <c r="G115" s="28" t="s">
        <v>447</v>
      </c>
      <c r="H115" s="57" t="s">
        <v>689</v>
      </c>
      <c r="I115" s="19" t="s">
        <v>58</v>
      </c>
      <c r="J115" s="55" t="s">
        <v>690</v>
      </c>
      <c r="K115" s="19" t="s">
        <v>691</v>
      </c>
      <c r="L115" s="54"/>
      <c r="M115" s="11"/>
      <c r="N115" s="11"/>
      <c r="O115" s="11"/>
      <c r="P115" s="11"/>
      <c r="Q115" s="11"/>
      <c r="R115" s="11"/>
      <c r="S115" s="11"/>
      <c r="T115" s="11"/>
      <c r="U115" s="11"/>
      <c r="V115" s="11"/>
      <c r="W115" s="11"/>
      <c r="X115" s="11"/>
      <c r="Y115" s="11"/>
      <c r="Z115" s="11"/>
    </row>
    <row r="116" ht="61.5" customHeight="1">
      <c r="A116" s="57" t="s">
        <v>692</v>
      </c>
      <c r="B116" s="19" t="s">
        <v>678</v>
      </c>
      <c r="C116" s="6" t="s">
        <v>13</v>
      </c>
      <c r="D116" s="6" t="s">
        <v>13</v>
      </c>
      <c r="E116" s="53">
        <v>2.0</v>
      </c>
      <c r="F116" s="23">
        <v>46086.0</v>
      </c>
      <c r="G116" s="28" t="s">
        <v>367</v>
      </c>
      <c r="H116" s="57" t="s">
        <v>693</v>
      </c>
      <c r="I116" s="19" t="s">
        <v>58</v>
      </c>
      <c r="J116" s="58" t="s">
        <v>694</v>
      </c>
      <c r="K116" s="19" t="s">
        <v>161</v>
      </c>
      <c r="L116" s="54"/>
      <c r="M116" s="11"/>
      <c r="N116" s="11"/>
      <c r="O116" s="11"/>
      <c r="P116" s="11"/>
      <c r="Q116" s="11"/>
      <c r="R116" s="11"/>
      <c r="S116" s="11"/>
      <c r="T116" s="11"/>
      <c r="U116" s="11"/>
      <c r="V116" s="11"/>
      <c r="W116" s="11"/>
      <c r="X116" s="11"/>
      <c r="Y116" s="11"/>
      <c r="Z116" s="11"/>
    </row>
    <row r="117">
      <c r="A117" s="11"/>
      <c r="B117" s="11"/>
      <c r="C117" s="61"/>
      <c r="D117" s="6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61"/>
      <c r="D118" s="6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61"/>
      <c r="D119" s="6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61"/>
      <c r="D120" s="6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61"/>
      <c r="D121" s="6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61"/>
      <c r="D122" s="6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61"/>
      <c r="D123" s="6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61"/>
      <c r="D124" s="6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61"/>
      <c r="D125" s="6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61"/>
      <c r="D126" s="6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61"/>
      <c r="D127" s="6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61"/>
      <c r="D128" s="6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61"/>
      <c r="D129" s="6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61"/>
      <c r="D130" s="6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61"/>
      <c r="D131" s="6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61"/>
      <c r="D132" s="6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61"/>
      <c r="D133" s="6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61"/>
      <c r="D134" s="6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61"/>
      <c r="D135" s="6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61"/>
      <c r="D136" s="6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61"/>
      <c r="D137" s="6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61"/>
      <c r="D138" s="6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61"/>
      <c r="D139" s="6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61"/>
      <c r="D140" s="6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61"/>
      <c r="D141" s="6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61"/>
      <c r="D142" s="6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61"/>
      <c r="D143" s="6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61"/>
      <c r="D144" s="6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61"/>
      <c r="D145" s="6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61"/>
      <c r="D146" s="6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61"/>
      <c r="D147" s="6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61"/>
      <c r="D148" s="6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61"/>
      <c r="D149" s="6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61"/>
      <c r="D150" s="6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61"/>
      <c r="D151" s="6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61"/>
      <c r="D152" s="6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61"/>
      <c r="D153" s="6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61"/>
      <c r="D154" s="6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61"/>
      <c r="D155" s="6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61"/>
      <c r="D156" s="6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61"/>
      <c r="D157" s="6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61"/>
      <c r="D158" s="6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61"/>
      <c r="D159" s="6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61"/>
      <c r="D160" s="6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61"/>
      <c r="D161" s="6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61"/>
      <c r="D162" s="6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61"/>
      <c r="D163" s="6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61"/>
      <c r="D164" s="6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61"/>
      <c r="D165" s="6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61"/>
      <c r="D166" s="6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61"/>
      <c r="D167" s="6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61"/>
      <c r="D168" s="6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61"/>
      <c r="D169" s="6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61"/>
      <c r="D170" s="6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61"/>
      <c r="D171" s="6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61"/>
      <c r="D172" s="6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61"/>
      <c r="D173" s="6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61"/>
      <c r="D174" s="6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61"/>
      <c r="D175" s="6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61"/>
      <c r="D176" s="6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61"/>
      <c r="D177" s="6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61"/>
      <c r="D178" s="6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61"/>
      <c r="D179" s="6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61"/>
      <c r="D180" s="6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61"/>
      <c r="D181" s="6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61"/>
      <c r="D182" s="6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61"/>
      <c r="D183" s="6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61"/>
      <c r="D184" s="6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61"/>
      <c r="D185" s="6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61"/>
      <c r="D186" s="6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61"/>
      <c r="D187" s="6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61"/>
      <c r="D188" s="6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61"/>
      <c r="D189" s="6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61"/>
      <c r="D190" s="6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61"/>
      <c r="D191" s="6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61"/>
      <c r="D192" s="6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61"/>
      <c r="D193" s="6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61"/>
      <c r="D194" s="6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61"/>
      <c r="D195" s="6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61"/>
      <c r="D196" s="6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61"/>
      <c r="D197" s="6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61"/>
      <c r="D198" s="6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61"/>
      <c r="D199" s="6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61"/>
      <c r="D200" s="6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61"/>
      <c r="D201" s="6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61"/>
      <c r="D202" s="6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61"/>
      <c r="D203" s="6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61"/>
      <c r="D204" s="6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61"/>
      <c r="D205" s="6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61"/>
      <c r="D206" s="6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61"/>
      <c r="D207" s="6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61"/>
      <c r="D208" s="6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61"/>
      <c r="D209" s="6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61"/>
      <c r="D210" s="6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61"/>
      <c r="D211" s="6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61"/>
      <c r="D212" s="6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61"/>
      <c r="D213" s="6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61"/>
      <c r="D214" s="6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61"/>
      <c r="D215" s="6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61"/>
      <c r="D216" s="6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61"/>
      <c r="D217" s="6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61"/>
      <c r="D218" s="6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61"/>
      <c r="D219" s="6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61"/>
      <c r="D220" s="6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61"/>
      <c r="D221" s="6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61"/>
      <c r="D222" s="6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61"/>
      <c r="D223" s="6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61"/>
      <c r="D224" s="6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61"/>
      <c r="D225" s="6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61"/>
      <c r="D226" s="6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61"/>
      <c r="D227" s="6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61"/>
      <c r="D228" s="6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61"/>
      <c r="D229" s="6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61"/>
      <c r="D230" s="6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61"/>
      <c r="D231" s="6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61"/>
      <c r="D232" s="6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61"/>
      <c r="D233" s="6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61"/>
      <c r="D234" s="6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61"/>
      <c r="D235" s="6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61"/>
      <c r="D236" s="6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61"/>
      <c r="D237" s="6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61"/>
      <c r="D238" s="6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61"/>
      <c r="D239" s="6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61"/>
      <c r="D240" s="6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61"/>
      <c r="D241" s="6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61"/>
      <c r="D242" s="6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61"/>
      <c r="D243" s="6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61"/>
      <c r="D244" s="6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61"/>
      <c r="D245" s="6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61"/>
      <c r="D246" s="6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61"/>
      <c r="D247" s="6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61"/>
      <c r="D248" s="6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61"/>
      <c r="D249" s="6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61"/>
      <c r="D250" s="6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61"/>
      <c r="D251" s="6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61"/>
      <c r="D252" s="6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61"/>
      <c r="D253" s="6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61"/>
      <c r="D254" s="6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61"/>
      <c r="D255" s="6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61"/>
      <c r="D256" s="6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61"/>
      <c r="D257" s="6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61"/>
      <c r="D258" s="6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61"/>
      <c r="D259" s="6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61"/>
      <c r="D260" s="6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61"/>
      <c r="D261" s="6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61"/>
      <c r="D262" s="6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61"/>
      <c r="D263" s="6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61"/>
      <c r="D264" s="6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61"/>
      <c r="D265" s="6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61"/>
      <c r="D266" s="6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61"/>
      <c r="D267" s="6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61"/>
      <c r="D268" s="6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61"/>
      <c r="D269" s="6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61"/>
      <c r="D270" s="6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61"/>
      <c r="D271" s="6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61"/>
      <c r="D272" s="6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61"/>
      <c r="D273" s="6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61"/>
      <c r="D274" s="6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61"/>
      <c r="D275" s="6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61"/>
      <c r="D276" s="6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61"/>
      <c r="D277" s="6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61"/>
      <c r="D278" s="6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61"/>
      <c r="D279" s="6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61"/>
      <c r="D280" s="6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61"/>
      <c r="D281" s="6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61"/>
      <c r="D282" s="6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61"/>
      <c r="D283" s="6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61"/>
      <c r="D284" s="6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61"/>
      <c r="D285" s="6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61"/>
      <c r="D286" s="6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61"/>
      <c r="D287" s="6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61"/>
      <c r="D288" s="6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61"/>
      <c r="D289" s="6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61"/>
      <c r="D290" s="6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61"/>
      <c r="D291" s="6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61"/>
      <c r="D292" s="6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61"/>
      <c r="D293" s="6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61"/>
      <c r="D294" s="6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61"/>
      <c r="D295" s="6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61"/>
      <c r="D296" s="6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61"/>
      <c r="D297" s="6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61"/>
      <c r="D298" s="6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61"/>
      <c r="D299" s="6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61"/>
      <c r="D300" s="6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61"/>
      <c r="D301" s="6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61"/>
      <c r="D302" s="6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61"/>
      <c r="D303" s="6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61"/>
      <c r="D304" s="6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61"/>
      <c r="D305" s="6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61"/>
      <c r="D306" s="6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61"/>
      <c r="D307" s="6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61"/>
      <c r="D308" s="6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61"/>
      <c r="D309" s="6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61"/>
      <c r="D310" s="6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61"/>
      <c r="D311" s="6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61"/>
      <c r="D312" s="6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61"/>
      <c r="D313" s="6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61"/>
      <c r="D314" s="6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61"/>
      <c r="D315" s="6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61"/>
      <c r="D316" s="6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61"/>
      <c r="D317" s="6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61"/>
      <c r="D318" s="6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61"/>
      <c r="D319" s="6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61"/>
      <c r="D320" s="6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61"/>
      <c r="D321" s="6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61"/>
      <c r="D322" s="6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61"/>
      <c r="D323" s="6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61"/>
      <c r="D324" s="6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61"/>
      <c r="D325" s="6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61"/>
      <c r="D326" s="6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61"/>
      <c r="D327" s="6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61"/>
      <c r="D328" s="6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61"/>
      <c r="D329" s="6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61"/>
      <c r="D330" s="6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61"/>
      <c r="D331" s="6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61"/>
      <c r="D332" s="6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61"/>
      <c r="D333" s="6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61"/>
      <c r="D334" s="6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61"/>
      <c r="D335" s="6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61"/>
      <c r="D336" s="6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61"/>
      <c r="D337" s="6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61"/>
      <c r="D338" s="6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61"/>
      <c r="D339" s="6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61"/>
      <c r="D340" s="6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61"/>
      <c r="D341" s="6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61"/>
      <c r="D342" s="6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61"/>
      <c r="D343" s="6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61"/>
      <c r="D344" s="6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61"/>
      <c r="D345" s="6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61"/>
      <c r="D346" s="6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61"/>
      <c r="D347" s="6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61"/>
      <c r="D348" s="6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61"/>
      <c r="D349" s="6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61"/>
      <c r="D350" s="6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61"/>
      <c r="D351" s="6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61"/>
      <c r="D352" s="6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61"/>
      <c r="D353" s="6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61"/>
      <c r="D354" s="6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61"/>
      <c r="D355" s="6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61"/>
      <c r="D356" s="6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61"/>
      <c r="D357" s="6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61"/>
      <c r="D358" s="6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61"/>
      <c r="D359" s="6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61"/>
      <c r="D360" s="6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61"/>
      <c r="D361" s="6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61"/>
      <c r="D362" s="6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61"/>
      <c r="D363" s="6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61"/>
      <c r="D364" s="6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61"/>
      <c r="D365" s="6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61"/>
      <c r="D366" s="6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61"/>
      <c r="D367" s="6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61"/>
      <c r="D368" s="6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61"/>
      <c r="D369" s="6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61"/>
      <c r="D370" s="6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61"/>
      <c r="D371" s="6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61"/>
      <c r="D372" s="6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61"/>
      <c r="D373" s="6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61"/>
      <c r="D374" s="6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61"/>
      <c r="D375" s="6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61"/>
      <c r="D376" s="6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61"/>
      <c r="D377" s="6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61"/>
      <c r="D378" s="6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61"/>
      <c r="D379" s="6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61"/>
      <c r="D380" s="6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61"/>
      <c r="D381" s="6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61"/>
      <c r="D382" s="6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61"/>
      <c r="D383" s="6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61"/>
      <c r="D384" s="6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61"/>
      <c r="D385" s="6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61"/>
      <c r="D386" s="6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61"/>
      <c r="D387" s="6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61"/>
      <c r="D388" s="6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61"/>
      <c r="D389" s="6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61"/>
      <c r="D390" s="6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61"/>
      <c r="D391" s="6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61"/>
      <c r="D392" s="6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61"/>
      <c r="D393" s="6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61"/>
      <c r="D394" s="6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61"/>
      <c r="D395" s="6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61"/>
      <c r="D396" s="6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61"/>
      <c r="D397" s="6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61"/>
      <c r="D398" s="6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61"/>
      <c r="D399" s="6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61"/>
      <c r="D400" s="6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61"/>
      <c r="D401" s="6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61"/>
      <c r="D402" s="6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61"/>
      <c r="D403" s="6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61"/>
      <c r="D404" s="6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61"/>
      <c r="D405" s="6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61"/>
      <c r="D406" s="6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61"/>
      <c r="D407" s="6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61"/>
      <c r="D408" s="6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61"/>
      <c r="D409" s="6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61"/>
      <c r="D410" s="6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61"/>
      <c r="D411" s="6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61"/>
      <c r="D412" s="6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61"/>
      <c r="D413" s="6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61"/>
      <c r="D414" s="6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61"/>
      <c r="D415" s="6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61"/>
      <c r="D416" s="6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61"/>
      <c r="D417" s="6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61"/>
      <c r="D418" s="6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61"/>
      <c r="D419" s="6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61"/>
      <c r="D420" s="6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61"/>
      <c r="D421" s="6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61"/>
      <c r="D422" s="6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61"/>
      <c r="D423" s="6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61"/>
      <c r="D424" s="6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61"/>
      <c r="D425" s="6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61"/>
      <c r="D426" s="6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61"/>
      <c r="D427" s="6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61"/>
      <c r="D428" s="6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61"/>
      <c r="D429" s="6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61"/>
      <c r="D430" s="6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61"/>
      <c r="D431" s="6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61"/>
      <c r="D432" s="6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61"/>
      <c r="D433" s="6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61"/>
      <c r="D434" s="6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61"/>
      <c r="D435" s="6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61"/>
      <c r="D436" s="6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61"/>
      <c r="D437" s="6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61"/>
      <c r="D438" s="6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61"/>
      <c r="D439" s="6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61"/>
      <c r="D440" s="6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61"/>
      <c r="D441" s="6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61"/>
      <c r="D442" s="6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61"/>
      <c r="D443" s="6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61"/>
      <c r="D444" s="6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61"/>
      <c r="D445" s="6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61"/>
      <c r="D446" s="6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61"/>
      <c r="D447" s="6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61"/>
      <c r="D448" s="6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61"/>
      <c r="D449" s="6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61"/>
      <c r="D450" s="6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61"/>
      <c r="D451" s="6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61"/>
      <c r="D452" s="6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61"/>
      <c r="D453" s="6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61"/>
      <c r="D454" s="6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61"/>
      <c r="D455" s="6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61"/>
      <c r="D456" s="6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61"/>
      <c r="D457" s="6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61"/>
      <c r="D458" s="6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61"/>
      <c r="D459" s="6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61"/>
      <c r="D460" s="6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61"/>
      <c r="D461" s="6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61"/>
      <c r="D462" s="6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61"/>
      <c r="D463" s="6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61"/>
      <c r="D464" s="6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61"/>
      <c r="D465" s="6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61"/>
      <c r="D466" s="6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61"/>
      <c r="D467" s="6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61"/>
      <c r="D468" s="6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61"/>
      <c r="D469" s="6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61"/>
      <c r="D470" s="6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61"/>
      <c r="D471" s="6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61"/>
      <c r="D472" s="6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61"/>
      <c r="D473" s="6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61"/>
      <c r="D474" s="6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61"/>
      <c r="D475" s="6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61"/>
      <c r="D476" s="6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61"/>
      <c r="D477" s="6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61"/>
      <c r="D478" s="6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61"/>
      <c r="D479" s="6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61"/>
      <c r="D480" s="6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61"/>
      <c r="D481" s="6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61"/>
      <c r="D482" s="6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61"/>
      <c r="D483" s="6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61"/>
      <c r="D484" s="6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61"/>
      <c r="D485" s="6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61"/>
      <c r="D486" s="6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61"/>
      <c r="D487" s="6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61"/>
      <c r="D488" s="6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61"/>
      <c r="D489" s="6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61"/>
      <c r="D490" s="6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61"/>
      <c r="D491" s="6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61"/>
      <c r="D492" s="6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61"/>
      <c r="D493" s="6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61"/>
      <c r="D494" s="6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61"/>
      <c r="D495" s="6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61"/>
      <c r="D496" s="6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61"/>
      <c r="D497" s="6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61"/>
      <c r="D498" s="6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61"/>
      <c r="D499" s="6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61"/>
      <c r="D500" s="6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61"/>
      <c r="D501" s="6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61"/>
      <c r="D502" s="6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61"/>
      <c r="D503" s="6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61"/>
      <c r="D504" s="6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61"/>
      <c r="D505" s="6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61"/>
      <c r="D506" s="6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61"/>
      <c r="D507" s="6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61"/>
      <c r="D508" s="6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61"/>
      <c r="D509" s="6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61"/>
      <c r="D510" s="6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61"/>
      <c r="D511" s="6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61"/>
      <c r="D512" s="6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61"/>
      <c r="D513" s="6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61"/>
      <c r="D514" s="6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61"/>
      <c r="D515" s="6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61"/>
      <c r="D516" s="6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61"/>
      <c r="D517" s="6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61"/>
      <c r="D518" s="6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61"/>
      <c r="D519" s="6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61"/>
      <c r="D520" s="6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61"/>
      <c r="D521" s="6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61"/>
      <c r="D522" s="6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61"/>
      <c r="D523" s="6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61"/>
      <c r="D524" s="6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61"/>
      <c r="D525" s="6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61"/>
      <c r="D526" s="6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61"/>
      <c r="D527" s="6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61"/>
      <c r="D528" s="6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61"/>
      <c r="D529" s="6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61"/>
      <c r="D530" s="6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61"/>
      <c r="D531" s="6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61"/>
      <c r="D532" s="6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61"/>
      <c r="D533" s="6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61"/>
      <c r="D534" s="6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61"/>
      <c r="D535" s="6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61"/>
      <c r="D536" s="6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61"/>
      <c r="D537" s="6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61"/>
      <c r="D538" s="6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61"/>
      <c r="D539" s="6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61"/>
      <c r="D540" s="6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61"/>
      <c r="D541" s="6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61"/>
      <c r="D542" s="6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61"/>
      <c r="D543" s="6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61"/>
      <c r="D544" s="6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61"/>
      <c r="D545" s="6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61"/>
      <c r="D546" s="6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61"/>
      <c r="D547" s="6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61"/>
      <c r="D548" s="6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61"/>
      <c r="D549" s="6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61"/>
      <c r="D550" s="6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61"/>
      <c r="D551" s="6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61"/>
      <c r="D552" s="6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61"/>
      <c r="D553" s="6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61"/>
      <c r="D554" s="6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61"/>
      <c r="D555" s="6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61"/>
      <c r="D556" s="6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61"/>
      <c r="D557" s="6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61"/>
      <c r="D558" s="6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61"/>
      <c r="D559" s="6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61"/>
      <c r="D560" s="6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61"/>
      <c r="D561" s="6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61"/>
      <c r="D562" s="6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61"/>
      <c r="D563" s="6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61"/>
      <c r="D564" s="6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61"/>
      <c r="D565" s="6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61"/>
      <c r="D566" s="6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61"/>
      <c r="D567" s="6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61"/>
      <c r="D568" s="6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61"/>
      <c r="D569" s="6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61"/>
      <c r="D570" s="6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61"/>
      <c r="D571" s="6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61"/>
      <c r="D572" s="6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61"/>
      <c r="D573" s="6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61"/>
      <c r="D574" s="6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61"/>
      <c r="D575" s="6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61"/>
      <c r="D576" s="6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61"/>
      <c r="D577" s="6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61"/>
      <c r="D578" s="6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61"/>
      <c r="D579" s="6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61"/>
      <c r="D580" s="6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61"/>
      <c r="D581" s="6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61"/>
      <c r="D582" s="6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61"/>
      <c r="D583" s="6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61"/>
      <c r="D584" s="6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61"/>
      <c r="D585" s="6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61"/>
      <c r="D586" s="6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61"/>
      <c r="D587" s="6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61"/>
      <c r="D588" s="6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61"/>
      <c r="D589" s="6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61"/>
      <c r="D590" s="6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61"/>
      <c r="D591" s="6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61"/>
      <c r="D592" s="6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61"/>
      <c r="D593" s="6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61"/>
      <c r="D594" s="6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61"/>
      <c r="D595" s="6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61"/>
      <c r="D596" s="6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61"/>
      <c r="D597" s="6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61"/>
      <c r="D598" s="6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61"/>
      <c r="D599" s="6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61"/>
      <c r="D600" s="6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61"/>
      <c r="D601" s="6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61"/>
      <c r="D602" s="6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61"/>
      <c r="D603" s="6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61"/>
      <c r="D604" s="6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61"/>
      <c r="D605" s="6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61"/>
      <c r="D606" s="6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61"/>
      <c r="D607" s="6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61"/>
      <c r="D608" s="6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61"/>
      <c r="D609" s="6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61"/>
      <c r="D610" s="6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61"/>
      <c r="D611" s="6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61"/>
      <c r="D612" s="6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61"/>
      <c r="D613" s="6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61"/>
      <c r="D614" s="6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61"/>
      <c r="D615" s="6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61"/>
      <c r="D616" s="6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61"/>
      <c r="D617" s="6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61"/>
      <c r="D618" s="6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61"/>
      <c r="D619" s="6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61"/>
      <c r="D620" s="6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61"/>
      <c r="D621" s="6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61"/>
      <c r="D622" s="6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61"/>
      <c r="D623" s="6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61"/>
      <c r="D624" s="6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61"/>
      <c r="D625" s="6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61"/>
      <c r="D626" s="6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61"/>
      <c r="D627" s="6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61"/>
      <c r="D628" s="6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61"/>
      <c r="D629" s="6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61"/>
      <c r="D630" s="6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61"/>
      <c r="D631" s="6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61"/>
      <c r="D632" s="6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61"/>
      <c r="D633" s="6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61"/>
      <c r="D634" s="6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61"/>
      <c r="D635" s="6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61"/>
      <c r="D636" s="6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61"/>
      <c r="D637" s="6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61"/>
      <c r="D638" s="6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61"/>
      <c r="D639" s="6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61"/>
      <c r="D640" s="6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61"/>
      <c r="D641" s="6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61"/>
      <c r="D642" s="6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61"/>
      <c r="D643" s="6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61"/>
      <c r="D644" s="6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61"/>
      <c r="D645" s="6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61"/>
      <c r="D646" s="6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61"/>
      <c r="D647" s="6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61"/>
      <c r="D648" s="6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61"/>
      <c r="D649" s="6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61"/>
      <c r="D650" s="6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61"/>
      <c r="D651" s="6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61"/>
      <c r="D652" s="6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61"/>
      <c r="D653" s="6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61"/>
      <c r="D654" s="6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61"/>
      <c r="D655" s="6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61"/>
      <c r="D656" s="6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61"/>
      <c r="D657" s="6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61"/>
      <c r="D658" s="6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61"/>
      <c r="D659" s="6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61"/>
      <c r="D660" s="6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61"/>
      <c r="D661" s="6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61"/>
      <c r="D662" s="6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61"/>
      <c r="D663" s="6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61"/>
      <c r="D664" s="6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61"/>
      <c r="D665" s="6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61"/>
      <c r="D666" s="6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61"/>
      <c r="D667" s="6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61"/>
      <c r="D668" s="6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61"/>
      <c r="D669" s="6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61"/>
      <c r="D670" s="6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61"/>
      <c r="D671" s="6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61"/>
      <c r="D672" s="6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61"/>
      <c r="D673" s="6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61"/>
      <c r="D674" s="6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61"/>
      <c r="D675" s="6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61"/>
      <c r="D676" s="6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61"/>
      <c r="D677" s="6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61"/>
      <c r="D678" s="6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61"/>
      <c r="D679" s="6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61"/>
      <c r="D680" s="6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61"/>
      <c r="D681" s="6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61"/>
      <c r="D682" s="6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61"/>
      <c r="D683" s="6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61"/>
      <c r="D684" s="6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61"/>
      <c r="D685" s="6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61"/>
      <c r="D686" s="6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61"/>
      <c r="D687" s="6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61"/>
      <c r="D688" s="6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61"/>
      <c r="D689" s="6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61"/>
      <c r="D690" s="6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61"/>
      <c r="D691" s="6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61"/>
      <c r="D692" s="6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61"/>
      <c r="D693" s="6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61"/>
      <c r="D694" s="6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61"/>
      <c r="D695" s="6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61"/>
      <c r="D696" s="6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61"/>
      <c r="D697" s="6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61"/>
      <c r="D698" s="6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61"/>
      <c r="D699" s="6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61"/>
      <c r="D700" s="6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61"/>
      <c r="D701" s="6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61"/>
      <c r="D702" s="6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61"/>
      <c r="D703" s="6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61"/>
      <c r="D704" s="6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61"/>
      <c r="D705" s="6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61"/>
      <c r="D706" s="6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61"/>
      <c r="D707" s="6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61"/>
      <c r="D708" s="6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61"/>
      <c r="D709" s="6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61"/>
      <c r="D710" s="6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61"/>
      <c r="D711" s="6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61"/>
      <c r="D712" s="6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61"/>
      <c r="D713" s="6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61"/>
      <c r="D714" s="6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61"/>
      <c r="D715" s="6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61"/>
      <c r="D716" s="6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61"/>
      <c r="D717" s="6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61"/>
      <c r="D718" s="6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61"/>
      <c r="D719" s="6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61"/>
      <c r="D720" s="6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61"/>
      <c r="D721" s="6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61"/>
      <c r="D722" s="6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61"/>
      <c r="D723" s="6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61"/>
      <c r="D724" s="6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61"/>
      <c r="D725" s="6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61"/>
      <c r="D726" s="6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61"/>
      <c r="D727" s="6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61"/>
      <c r="D728" s="6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61"/>
      <c r="D729" s="6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61"/>
      <c r="D730" s="6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61"/>
      <c r="D731" s="6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61"/>
      <c r="D732" s="6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61"/>
      <c r="D733" s="6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61"/>
      <c r="D734" s="6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61"/>
      <c r="D735" s="6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61"/>
      <c r="D736" s="6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61"/>
      <c r="D737" s="6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61"/>
      <c r="D738" s="6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61"/>
      <c r="D739" s="6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61"/>
      <c r="D740" s="6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61"/>
      <c r="D741" s="6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61"/>
      <c r="D742" s="6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61"/>
      <c r="D743" s="6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61"/>
      <c r="D744" s="6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61"/>
      <c r="D745" s="6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61"/>
      <c r="D746" s="6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61"/>
      <c r="D747" s="6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61"/>
      <c r="D748" s="6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61"/>
      <c r="D749" s="6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61"/>
      <c r="D750" s="6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61"/>
      <c r="D751" s="6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61"/>
      <c r="D752" s="6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61"/>
      <c r="D753" s="6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61"/>
      <c r="D754" s="6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61"/>
      <c r="D755" s="6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61"/>
      <c r="D756" s="6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61"/>
      <c r="D757" s="6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61"/>
      <c r="D758" s="6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61"/>
      <c r="D759" s="6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61"/>
      <c r="D760" s="6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61"/>
      <c r="D761" s="6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61"/>
      <c r="D762" s="6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61"/>
      <c r="D763" s="6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61"/>
      <c r="D764" s="6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61"/>
      <c r="D765" s="6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61"/>
      <c r="D766" s="6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61"/>
      <c r="D767" s="6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61"/>
      <c r="D768" s="6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61"/>
      <c r="D769" s="6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61"/>
      <c r="D770" s="6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61"/>
      <c r="D771" s="6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61"/>
      <c r="D772" s="6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61"/>
      <c r="D773" s="6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61"/>
      <c r="D774" s="6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61"/>
      <c r="D775" s="6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61"/>
      <c r="D776" s="6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61"/>
      <c r="D777" s="6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61"/>
      <c r="D778" s="6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61"/>
      <c r="D779" s="6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61"/>
      <c r="D780" s="6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61"/>
      <c r="D781" s="6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61"/>
      <c r="D782" s="6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61"/>
      <c r="D783" s="6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61"/>
      <c r="D784" s="6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61"/>
      <c r="D785" s="6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61"/>
      <c r="D786" s="6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61"/>
      <c r="D787" s="6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61"/>
      <c r="D788" s="6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61"/>
      <c r="D789" s="6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61"/>
      <c r="D790" s="6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61"/>
      <c r="D791" s="6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61"/>
      <c r="D792" s="6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61"/>
      <c r="D793" s="6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61"/>
      <c r="D794" s="6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61"/>
      <c r="D795" s="6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61"/>
      <c r="D796" s="6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61"/>
      <c r="D797" s="6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61"/>
      <c r="D798" s="6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61"/>
      <c r="D799" s="6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61"/>
      <c r="D800" s="6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61"/>
      <c r="D801" s="6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61"/>
      <c r="D802" s="6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61"/>
      <c r="D803" s="6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61"/>
      <c r="D804" s="6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61"/>
      <c r="D805" s="6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61"/>
      <c r="D806" s="6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61"/>
      <c r="D807" s="6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61"/>
      <c r="D808" s="6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61"/>
      <c r="D809" s="6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61"/>
      <c r="D810" s="6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61"/>
      <c r="D811" s="6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61"/>
      <c r="D812" s="6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61"/>
      <c r="D813" s="6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61"/>
      <c r="D814" s="6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61"/>
      <c r="D815" s="6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61"/>
      <c r="D816" s="6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61"/>
      <c r="D817" s="6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61"/>
      <c r="D818" s="6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61"/>
      <c r="D819" s="6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61"/>
      <c r="D820" s="6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61"/>
      <c r="D821" s="6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61"/>
      <c r="D822" s="6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61"/>
      <c r="D823" s="6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61"/>
      <c r="D824" s="6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61"/>
      <c r="D825" s="6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61"/>
      <c r="D826" s="6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61"/>
      <c r="D827" s="6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61"/>
      <c r="D828" s="6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61"/>
      <c r="D829" s="6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61"/>
      <c r="D830" s="6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61"/>
      <c r="D831" s="6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61"/>
      <c r="D832" s="6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61"/>
      <c r="D833" s="6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61"/>
      <c r="D834" s="6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61"/>
      <c r="D835" s="6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61"/>
      <c r="D836" s="6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61"/>
      <c r="D837" s="6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61"/>
      <c r="D838" s="6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61"/>
      <c r="D839" s="6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61"/>
      <c r="D840" s="6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61"/>
      <c r="D841" s="6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61"/>
      <c r="D842" s="6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61"/>
      <c r="D843" s="6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61"/>
      <c r="D844" s="6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61"/>
      <c r="D845" s="6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61"/>
      <c r="D846" s="6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61"/>
      <c r="D847" s="6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61"/>
      <c r="D848" s="6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61"/>
      <c r="D849" s="6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61"/>
      <c r="D850" s="6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61"/>
      <c r="D851" s="6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61"/>
      <c r="D852" s="6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61"/>
      <c r="D853" s="6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61"/>
      <c r="D854" s="6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61"/>
      <c r="D855" s="6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61"/>
      <c r="D856" s="6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61"/>
      <c r="D857" s="6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61"/>
      <c r="D858" s="6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61"/>
      <c r="D859" s="6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61"/>
      <c r="D860" s="6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61"/>
      <c r="D861" s="6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61"/>
      <c r="D862" s="6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61"/>
      <c r="D863" s="6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61"/>
      <c r="D864" s="6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61"/>
      <c r="D865" s="6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61"/>
      <c r="D866" s="6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61"/>
      <c r="D867" s="6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61"/>
      <c r="D868" s="6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61"/>
      <c r="D869" s="6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61"/>
      <c r="D870" s="6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61"/>
      <c r="D871" s="6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61"/>
      <c r="D872" s="6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61"/>
      <c r="D873" s="6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61"/>
      <c r="D874" s="6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61"/>
      <c r="D875" s="6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61"/>
      <c r="D876" s="6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61"/>
      <c r="D877" s="6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61"/>
      <c r="D878" s="6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61"/>
      <c r="D879" s="6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61"/>
      <c r="D880" s="6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61"/>
      <c r="D881" s="6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61"/>
      <c r="D882" s="6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61"/>
      <c r="D883" s="6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61"/>
      <c r="D884" s="6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61"/>
      <c r="D885" s="6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61"/>
      <c r="D886" s="6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61"/>
      <c r="D887" s="6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61"/>
      <c r="D888" s="6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61"/>
      <c r="D889" s="6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61"/>
      <c r="D890" s="6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61"/>
      <c r="D891" s="6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61"/>
      <c r="D892" s="6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61"/>
      <c r="D893" s="6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61"/>
      <c r="D894" s="6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61"/>
      <c r="D895" s="6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61"/>
      <c r="D896" s="6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61"/>
      <c r="D897" s="6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61"/>
      <c r="D898" s="6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61"/>
      <c r="D899" s="6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61"/>
      <c r="D900" s="6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61"/>
      <c r="D901" s="6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61"/>
      <c r="D902" s="6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61"/>
      <c r="D903" s="6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61"/>
      <c r="D904" s="6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61"/>
      <c r="D905" s="6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61"/>
      <c r="D906" s="6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61"/>
      <c r="D907" s="6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61"/>
      <c r="D908" s="6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61"/>
      <c r="D909" s="6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61"/>
      <c r="D910" s="6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61"/>
      <c r="D911" s="6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61"/>
      <c r="D912" s="6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61"/>
      <c r="D913" s="6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61"/>
      <c r="D914" s="6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61"/>
      <c r="D915" s="6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61"/>
      <c r="D916" s="6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61"/>
      <c r="D917" s="6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61"/>
      <c r="D918" s="6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61"/>
      <c r="D919" s="6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61"/>
      <c r="D920" s="6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61"/>
      <c r="D921" s="6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61"/>
      <c r="D922" s="6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61"/>
      <c r="D923" s="6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61"/>
      <c r="D924" s="6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61"/>
      <c r="D925" s="6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61"/>
      <c r="D926" s="6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61"/>
      <c r="D927" s="6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61"/>
      <c r="D928" s="6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61"/>
      <c r="D929" s="6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61"/>
      <c r="D930" s="6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61"/>
      <c r="D931" s="6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61"/>
      <c r="D932" s="6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61"/>
      <c r="D933" s="6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61"/>
      <c r="D934" s="6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61"/>
      <c r="D935" s="6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61"/>
      <c r="D936" s="6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61"/>
      <c r="D937" s="6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61"/>
      <c r="D938" s="6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61"/>
      <c r="D939" s="6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61"/>
      <c r="D940" s="6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61"/>
      <c r="D941" s="6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61"/>
      <c r="D942" s="6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61"/>
      <c r="D943" s="6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61"/>
      <c r="D944" s="6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61"/>
      <c r="D945" s="6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61"/>
      <c r="D946" s="6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61"/>
      <c r="D947" s="6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61"/>
      <c r="D948" s="6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61"/>
      <c r="D949" s="6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61"/>
      <c r="D950" s="6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61"/>
      <c r="D951" s="6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61"/>
      <c r="D952" s="6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61"/>
      <c r="D953" s="6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61"/>
      <c r="D954" s="6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61"/>
      <c r="D955" s="6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61"/>
      <c r="D956" s="6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61"/>
      <c r="D957" s="6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61"/>
      <c r="D958" s="6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61"/>
      <c r="D959" s="6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61"/>
      <c r="D960" s="6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61"/>
      <c r="D961" s="6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61"/>
      <c r="D962" s="6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61"/>
      <c r="D963" s="6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61"/>
      <c r="D964" s="6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61"/>
      <c r="D965" s="6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61"/>
      <c r="D966" s="6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61"/>
      <c r="D967" s="6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61"/>
      <c r="D968" s="6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61"/>
      <c r="D969" s="6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61"/>
      <c r="D970" s="6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61"/>
      <c r="D971" s="6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61"/>
      <c r="D972" s="6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61"/>
      <c r="D973" s="6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61"/>
      <c r="D974" s="6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61"/>
      <c r="D975" s="6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61"/>
      <c r="D976" s="6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61"/>
      <c r="D977" s="6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61"/>
      <c r="D978" s="6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61"/>
      <c r="D979" s="6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61"/>
      <c r="D980" s="6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61"/>
      <c r="D981" s="6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61"/>
      <c r="D982" s="6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61"/>
      <c r="D983" s="6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61"/>
      <c r="D984" s="6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61"/>
      <c r="D985" s="6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61"/>
      <c r="D986" s="61"/>
      <c r="E986" s="11"/>
      <c r="F986" s="11"/>
      <c r="G986" s="11"/>
      <c r="H986" s="11"/>
      <c r="I986" s="11"/>
      <c r="J986" s="11"/>
      <c r="K986" s="11"/>
      <c r="L986" s="11"/>
      <c r="M986" s="11"/>
      <c r="N986" s="11"/>
      <c r="O986" s="11"/>
      <c r="P986" s="11"/>
      <c r="Q986" s="11"/>
      <c r="R986" s="11"/>
      <c r="S986" s="11"/>
      <c r="T986" s="11"/>
      <c r="U986" s="11"/>
      <c r="V986" s="11"/>
      <c r="W986" s="11"/>
      <c r="X986" s="11"/>
      <c r="Y986" s="11"/>
      <c r="Z986" s="11"/>
    </row>
  </sheetData>
  <conditionalFormatting sqref="C2:D116">
    <cfRule type="cellIs" dxfId="0" priority="1" operator="equal">
      <formula>"6c+"</formula>
    </cfRule>
  </conditionalFormatting>
  <conditionalFormatting sqref="C2:D116">
    <cfRule type="cellIs" dxfId="1" priority="2" operator="equal">
      <formula>"6c"</formula>
    </cfRule>
  </conditionalFormatting>
  <conditionalFormatting sqref="C2:D116">
    <cfRule type="cellIs" dxfId="22" priority="3" operator="equal">
      <formula>"7a"</formula>
    </cfRule>
  </conditionalFormatting>
  <conditionalFormatting sqref="C2:D116">
    <cfRule type="cellIs" dxfId="3" priority="4" operator="equal">
      <formula>"6c+/7a"</formula>
    </cfRule>
  </conditionalFormatting>
  <conditionalFormatting sqref="C2:D116">
    <cfRule type="cellIs" dxfId="4" priority="5" operator="equal">
      <formula>"7a+/b"</formula>
    </cfRule>
  </conditionalFormatting>
  <conditionalFormatting sqref="C2:D116">
    <cfRule type="cellIs" dxfId="5" priority="6" operator="equal">
      <formula>"7a+"</formula>
    </cfRule>
  </conditionalFormatting>
  <conditionalFormatting sqref="E2:E24">
    <cfRule type="cellIs" dxfId="8" priority="7" operator="greaterThanOrEqual">
      <formula>20</formula>
    </cfRule>
  </conditionalFormatting>
  <conditionalFormatting sqref="E2:E24">
    <cfRule type="cellIs" dxfId="9" priority="8" operator="greaterThanOrEqual">
      <formula>10</formula>
    </cfRule>
  </conditionalFormatting>
  <conditionalFormatting sqref="E2:E24">
    <cfRule type="cellIs" dxfId="7" priority="9" operator="greaterThanOrEqual">
      <formula>3</formula>
    </cfRule>
  </conditionalFormatting>
  <conditionalFormatting sqref="E2:E24">
    <cfRule type="cellIs" dxfId="10" priority="10" operator="equal">
      <formula>2</formula>
    </cfRule>
  </conditionalFormatting>
  <conditionalFormatting sqref="E2:E24">
    <cfRule type="cellIs" dxfId="6" priority="11" operator="equal">
      <formula>1</formula>
    </cfRule>
  </conditionalFormatting>
  <conditionalFormatting sqref="C2:D116">
    <cfRule type="cellIs" dxfId="23" priority="12" operator="equal">
      <formula>"7b"</formula>
    </cfRule>
  </conditionalFormatting>
  <conditionalFormatting sqref="G2:G116">
    <cfRule type="cellIs" dxfId="2" priority="13" operator="equal">
      <formula>"ZŁOTO"</formula>
    </cfRule>
  </conditionalFormatting>
  <conditionalFormatting sqref="B2:B116">
    <cfRule type="cellIs" dxfId="24" priority="14" operator="equal">
      <formula>"OS"</formula>
    </cfRule>
  </conditionalFormatting>
  <conditionalFormatting sqref="G2:G116">
    <cfRule type="cellIs" dxfId="25" priority="15" operator="equal">
      <formula>"BRĄZ"</formula>
    </cfRule>
  </conditionalFormatting>
  <conditionalFormatting sqref="B2:B116">
    <cfRule type="cellIs" dxfId="26" priority="16" operator="equal">
      <formula>"FL"</formula>
    </cfRule>
  </conditionalFormatting>
  <conditionalFormatting sqref="B2:B116">
    <cfRule type="cellIs" dxfId="8" priority="17" operator="equal">
      <formula>"RP"</formula>
    </cfRule>
  </conditionalFormatting>
  <conditionalFormatting sqref="C2:D229">
    <cfRule type="cellIs" dxfId="27" priority="18" operator="equal">
      <formula>"7b+"</formula>
    </cfRule>
  </conditionalFormatting>
  <conditionalFormatting sqref="C2:D116">
    <cfRule type="cellIs" dxfId="28" priority="19" operator="equal">
      <formula>"7c"</formula>
    </cfRule>
  </conditionalFormatting>
  <dataValidations>
    <dataValidation type="list" allowBlank="1" sqref="C2:D116">
      <formula1>#REF!</formula1>
    </dataValidation>
    <dataValidation type="custom" allowBlank="1" showDropDown="1" sqref="F2:F116">
      <formula1>OR(NOT(ISERROR(DATEVALUE(F2))), AND(ISNUMBER(F2), LEFT(CELL("format", F2))="D"))</formula1>
    </dataValidation>
    <dataValidation type="list" allowBlank="1" sqref="C2:D68">
      <formula1>SKALE!$A$1:$A$27</formula1>
    </dataValidation>
    <dataValidation type="custom" allowBlank="1" showDropDown="1" sqref="E2:E116">
      <formula1>AND(ISNUMBER(E2),(NOT(OR(NOT(ISERROR(DATEVALUE(E2))), AND(ISNUMBER(E2), LEFT(CELL("format", E2))="D")))))</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3"/>
    <hyperlink r:id="rId52" ref="A54"/>
    <hyperlink r:id="rId53" ref="A55"/>
    <hyperlink r:id="rId54" ref="A56"/>
    <hyperlink r:id="rId55" ref="A57"/>
    <hyperlink r:id="rId56" ref="H57"/>
    <hyperlink r:id="rId57" ref="A58"/>
    <hyperlink r:id="rId58" ref="A59"/>
    <hyperlink r:id="rId59" ref="H59"/>
    <hyperlink r:id="rId60" ref="A60"/>
    <hyperlink r:id="rId61" ref="H60"/>
    <hyperlink r:id="rId62" ref="A61"/>
    <hyperlink r:id="rId63" ref="H61"/>
    <hyperlink r:id="rId64" ref="A62"/>
    <hyperlink r:id="rId65" ref="H62"/>
    <hyperlink r:id="rId66" ref="A63"/>
    <hyperlink r:id="rId67" ref="H63"/>
    <hyperlink r:id="rId68" ref="A64"/>
    <hyperlink r:id="rId69" ref="H64"/>
    <hyperlink r:id="rId70" ref="A65"/>
    <hyperlink r:id="rId71" ref="H65"/>
    <hyperlink r:id="rId72" ref="A66"/>
    <hyperlink r:id="rId73" ref="H66"/>
    <hyperlink r:id="rId74" ref="A67"/>
    <hyperlink r:id="rId75" ref="H67"/>
    <hyperlink r:id="rId76" ref="A68"/>
    <hyperlink r:id="rId77" ref="A69"/>
    <hyperlink r:id="rId78" ref="A70"/>
    <hyperlink r:id="rId79" ref="A71"/>
    <hyperlink r:id="rId80" ref="A72"/>
    <hyperlink r:id="rId81" ref="A73"/>
    <hyperlink r:id="rId82" ref="A74"/>
    <hyperlink r:id="rId83" ref="A75"/>
    <hyperlink r:id="rId84" ref="A76"/>
    <hyperlink r:id="rId85" ref="A77"/>
    <hyperlink r:id="rId86" ref="A78"/>
    <hyperlink r:id="rId87" ref="A79"/>
    <hyperlink r:id="rId88" ref="A80"/>
    <hyperlink r:id="rId89" ref="A81"/>
    <hyperlink r:id="rId90" ref="A82"/>
    <hyperlink r:id="rId91" ref="A83"/>
    <hyperlink r:id="rId92" ref="A84"/>
    <hyperlink r:id="rId93" ref="A85"/>
    <hyperlink r:id="rId94" ref="A86"/>
    <hyperlink r:id="rId95" ref="A87"/>
    <hyperlink r:id="rId96" ref="A88"/>
    <hyperlink r:id="rId97" ref="A89"/>
    <hyperlink r:id="rId98" ref="A90"/>
    <hyperlink r:id="rId99" ref="A91"/>
    <hyperlink r:id="rId100" ref="A92"/>
    <hyperlink r:id="rId101" ref="A93"/>
    <hyperlink r:id="rId102" ref="A94"/>
    <hyperlink r:id="rId103" ref="H94"/>
    <hyperlink r:id="rId104" ref="A95"/>
    <hyperlink r:id="rId105" ref="H95"/>
    <hyperlink r:id="rId106" ref="A96"/>
    <hyperlink r:id="rId107" ref="H96"/>
    <hyperlink r:id="rId108" ref="A97"/>
    <hyperlink r:id="rId109" ref="H97"/>
    <hyperlink r:id="rId110" ref="A98"/>
    <hyperlink r:id="rId111" ref="H98"/>
    <hyperlink r:id="rId112" ref="A99"/>
    <hyperlink r:id="rId113" ref="H99"/>
    <hyperlink r:id="rId114" ref="A100"/>
    <hyperlink r:id="rId115" ref="H100"/>
    <hyperlink r:id="rId116" ref="A101"/>
    <hyperlink r:id="rId117" ref="H101"/>
    <hyperlink r:id="rId118" ref="A102"/>
    <hyperlink r:id="rId119" ref="H102"/>
    <hyperlink r:id="rId120" ref="A103"/>
    <hyperlink r:id="rId121" ref="H103"/>
    <hyperlink r:id="rId122" ref="A104"/>
    <hyperlink r:id="rId123" ref="H104"/>
    <hyperlink r:id="rId124" ref="A105"/>
    <hyperlink r:id="rId125" ref="H105"/>
    <hyperlink r:id="rId126" ref="A106"/>
    <hyperlink r:id="rId127" ref="H106"/>
    <hyperlink r:id="rId128" ref="A107"/>
    <hyperlink r:id="rId129" ref="H107"/>
    <hyperlink r:id="rId130" ref="A108"/>
    <hyperlink r:id="rId131" ref="H108"/>
    <hyperlink r:id="rId132" ref="A109"/>
    <hyperlink r:id="rId133" ref="H109"/>
    <hyperlink r:id="rId134" ref="A110"/>
    <hyperlink r:id="rId135" ref="H110"/>
    <hyperlink r:id="rId136" ref="A111"/>
    <hyperlink r:id="rId137" ref="H111"/>
    <hyperlink r:id="rId138" ref="A112"/>
    <hyperlink r:id="rId139" ref="H112"/>
    <hyperlink r:id="rId140" ref="A113"/>
    <hyperlink r:id="rId141" ref="H113"/>
    <hyperlink r:id="rId142" ref="A114"/>
    <hyperlink r:id="rId143" ref="H114"/>
    <hyperlink r:id="rId144" ref="A115"/>
    <hyperlink r:id="rId145" ref="H115"/>
    <hyperlink r:id="rId146" ref="A116"/>
    <hyperlink r:id="rId147" ref="H116"/>
  </hyperlinks>
  <drawing r:id="rId148"/>
  <tableParts count="1">
    <tablePart r:id="rId15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t="s">
        <v>695</v>
      </c>
      <c r="B1" s="62">
        <v>10.0</v>
      </c>
    </row>
    <row r="2">
      <c r="A2" s="62" t="s">
        <v>696</v>
      </c>
      <c r="B2" s="62">
        <v>40.0</v>
      </c>
    </row>
    <row r="3">
      <c r="A3" s="62" t="s">
        <v>697</v>
      </c>
      <c r="B3" s="62">
        <v>70.0</v>
      </c>
    </row>
    <row r="4">
      <c r="A4" s="62" t="s">
        <v>698</v>
      </c>
      <c r="B4" s="62">
        <v>100.0</v>
      </c>
    </row>
    <row r="5">
      <c r="A5" s="62" t="s">
        <v>699</v>
      </c>
      <c r="B5" s="62">
        <v>130.0</v>
      </c>
    </row>
    <row r="6">
      <c r="A6" s="62" t="s">
        <v>700</v>
      </c>
      <c r="B6" s="62">
        <v>160.0</v>
      </c>
    </row>
    <row r="7">
      <c r="A7" s="62" t="s">
        <v>701</v>
      </c>
      <c r="B7" s="62">
        <v>190.0</v>
      </c>
    </row>
    <row r="8">
      <c r="A8" s="62" t="s">
        <v>702</v>
      </c>
      <c r="B8" s="62">
        <v>220.0</v>
      </c>
    </row>
    <row r="9">
      <c r="A9" s="62" t="s">
        <v>703</v>
      </c>
      <c r="B9" s="62">
        <v>250.0</v>
      </c>
    </row>
    <row r="10">
      <c r="A10" s="62" t="s">
        <v>704</v>
      </c>
      <c r="B10" s="62">
        <v>280.0</v>
      </c>
    </row>
    <row r="11">
      <c r="A11" s="62" t="s">
        <v>705</v>
      </c>
      <c r="B11" s="62">
        <v>310.0</v>
      </c>
    </row>
    <row r="12">
      <c r="A12" s="62" t="s">
        <v>706</v>
      </c>
      <c r="B12" s="62">
        <v>340.0</v>
      </c>
    </row>
    <row r="13">
      <c r="A13" s="62" t="s">
        <v>163</v>
      </c>
      <c r="B13" s="62">
        <v>370.0</v>
      </c>
    </row>
    <row r="14">
      <c r="A14" s="62" t="s">
        <v>174</v>
      </c>
      <c r="B14" s="62">
        <v>400.0</v>
      </c>
    </row>
    <row r="15">
      <c r="A15" s="62" t="s">
        <v>63</v>
      </c>
      <c r="B15" s="62">
        <v>430.0</v>
      </c>
    </row>
    <row r="16">
      <c r="A16" s="62" t="s">
        <v>81</v>
      </c>
      <c r="B16" s="62">
        <v>460.0</v>
      </c>
    </row>
    <row r="17">
      <c r="A17" s="62" t="s">
        <v>14</v>
      </c>
      <c r="B17" s="62">
        <v>490.0</v>
      </c>
    </row>
    <row r="18">
      <c r="A18" s="62" t="s">
        <v>28</v>
      </c>
      <c r="B18" s="62">
        <v>520.0</v>
      </c>
    </row>
    <row r="19">
      <c r="A19" s="62" t="s">
        <v>13</v>
      </c>
      <c r="B19" s="62">
        <v>550.0</v>
      </c>
    </row>
    <row r="20">
      <c r="A20" s="62" t="s">
        <v>40</v>
      </c>
      <c r="B20" s="62">
        <v>580.0</v>
      </c>
    </row>
    <row r="21">
      <c r="A21" s="62" t="s">
        <v>76</v>
      </c>
      <c r="B21" s="62">
        <v>610.0</v>
      </c>
    </row>
    <row r="22">
      <c r="A22" s="62" t="s">
        <v>122</v>
      </c>
      <c r="B22" s="62">
        <v>640.0</v>
      </c>
    </row>
    <row r="23">
      <c r="A23" s="62" t="s">
        <v>267</v>
      </c>
      <c r="B23" s="62">
        <v>670.0</v>
      </c>
    </row>
    <row r="24">
      <c r="A24" s="62" t="s">
        <v>286</v>
      </c>
      <c r="B24" s="62">
        <v>700.0</v>
      </c>
    </row>
    <row r="25">
      <c r="A25" s="62" t="s">
        <v>707</v>
      </c>
      <c r="B25" s="62">
        <v>730.0</v>
      </c>
    </row>
    <row r="26">
      <c r="A26" s="62" t="s">
        <v>353</v>
      </c>
      <c r="B26" s="62">
        <v>745.0</v>
      </c>
    </row>
    <row r="27">
      <c r="A27" s="62" t="s">
        <v>708</v>
      </c>
      <c r="B27" s="62">
        <v>760.0</v>
      </c>
    </row>
    <row r="28">
      <c r="A28" s="62" t="s">
        <v>709</v>
      </c>
      <c r="B28" s="62">
        <v>790.0</v>
      </c>
    </row>
    <row r="29">
      <c r="A29" s="62" t="s">
        <v>710</v>
      </c>
      <c r="B29" s="62">
        <v>820.0</v>
      </c>
    </row>
    <row r="30">
      <c r="A30" s="62" t="s">
        <v>711</v>
      </c>
      <c r="B30" s="62">
        <v>850.0</v>
      </c>
    </row>
    <row r="31">
      <c r="A31" s="62" t="s">
        <v>712</v>
      </c>
      <c r="B31" s="62">
        <v>880.0</v>
      </c>
    </row>
  </sheetData>
  <drawing r:id="rId1"/>
</worksheet>
</file>